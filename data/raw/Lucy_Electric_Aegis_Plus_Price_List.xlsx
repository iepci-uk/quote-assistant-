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y Electric Price List" sheetId="1" state="visible" r:id="rId1"/>
    <sheet xmlns:r="http://schemas.openxmlformats.org/officeDocument/2006/relationships" name="E-Commerce &amp; Catalogue Schema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'Lucy Electric Price List'!$A$4:$V$253</definedName>
    <definedName name="_xlnm._FilterDatabase" localSheetId="1" hidden="1">'E-Commerce &amp; Catalogue Schema'!$A$4:$U$253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FF3435FF"/>
      <sz val="10"/>
    </font>
    <font>
      <name val="Arial"/>
      <color rgb="FF000000"/>
      <sz val="9"/>
    </font>
    <font>
      <name val="Arial"/>
      <b val="1"/>
      <color rgb="FF000000"/>
      <sz val="9"/>
    </font>
  </fonts>
  <fills count="4">
    <fill>
      <patternFill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2563EB"/>
      </top>
      <bottom style="medium">
        <color rgb="FF2563EB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9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164" fontId="2" fillId="3" borderId="2" applyAlignment="1" pivotButton="0" quotePrefix="0" xfId="0">
      <alignment horizontal="right" vertical="center"/>
    </xf>
    <xf numFmtId="164" fontId="2" fillId="0" borderId="2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2" borderId="0" pivotButton="0" quotePrefix="0" xfId="0"/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3"/>
  <sheetViews>
    <sheetView showGridLines="1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46" customWidth="1" min="4" max="4"/>
    <col width="28" customWidth="1" min="5" max="5"/>
    <col width="22" customWidth="1" min="6" max="6"/>
    <col width="20" customWidth="1" min="7" max="7"/>
    <col width="22" customWidth="1" min="8" max="8"/>
    <col width="24" customWidth="1" min="9" max="9"/>
    <col width="18" customWidth="1" min="10" max="10"/>
    <col width="22" customWidth="1" min="11" max="11"/>
    <col width="18" customWidth="1" min="12" max="12"/>
    <col width="24" customWidth="1" min="13" max="13"/>
    <col width="12" customWidth="1" min="14" max="14"/>
    <col width="16" customWidth="1" min="15" max="15"/>
    <col width="16" customWidth="1" min="16" max="16"/>
    <col width="20" customWidth="1" min="17" max="17"/>
    <col width="42" customWidth="1" min="18" max="18"/>
    <col width="28" customWidth="1" min="19" max="19"/>
    <col width="12" customWidth="1" min="20" max="20"/>
    <col width="34" customWidth="1" min="21" max="21"/>
    <col width="14" customWidth="1" min="22" max="22"/>
  </cols>
  <sheetData>
    <row r="1">
      <c r="A1" s="1" t="inlineStr">
        <is>
          <t>Lucy Electric Aegis Plus Medium Voltage Switchgear Price List &amp; Technical Catalogue</t>
        </is>
      </c>
    </row>
    <row r="2">
      <c r="A2" s="2" t="inlineStr">
        <is>
          <t>Prices in USD ($) / GBP / Upon Request as per Lucy Electric Aegis Plus Technical Brochure (Ref: LEAEGP0121). Enter Discount as % (e.g. 20%); Net Price = Price x (1 - Discount).</t>
        </is>
      </c>
    </row>
    <row r="4" ht="28" customHeight="1">
      <c r="A4" s="3" t="inlineStr">
        <is>
          <t>Sr. No.</t>
        </is>
      </c>
      <c r="B4" s="4" t="inlineStr">
        <is>
          <t>Manufacturer</t>
        </is>
      </c>
      <c r="C4" s="4" t="inlineStr">
        <is>
          <t>Category</t>
        </is>
      </c>
      <c r="D4" s="4" t="inlineStr">
        <is>
          <t>Description</t>
        </is>
      </c>
      <c r="E4" s="4" t="inlineStr">
        <is>
          <t>Key word</t>
        </is>
      </c>
      <c r="F4" s="4" t="inlineStr">
        <is>
          <t>Rating 1</t>
        </is>
      </c>
      <c r="G4" s="4" t="inlineStr">
        <is>
          <t>Rating 2</t>
        </is>
      </c>
      <c r="H4" s="4" t="inlineStr">
        <is>
          <t>Rating 3</t>
        </is>
      </c>
      <c r="I4" s="4" t="inlineStr">
        <is>
          <t>Rating 4</t>
        </is>
      </c>
      <c r="J4" s="4" t="inlineStr">
        <is>
          <t>Rating 5</t>
        </is>
      </c>
      <c r="K4" s="4" t="inlineStr">
        <is>
          <t>Accessories</t>
        </is>
      </c>
      <c r="L4" s="3" t="inlineStr">
        <is>
          <t>Stocked or Not stocked</t>
        </is>
      </c>
      <c r="M4" s="4" t="inlineStr">
        <is>
          <t>Part code</t>
        </is>
      </c>
      <c r="N4" s="3" t="inlineStr">
        <is>
          <t>Discount</t>
        </is>
      </c>
      <c r="O4" s="4" t="inlineStr">
        <is>
          <t>Price</t>
        </is>
      </c>
      <c r="P4" s="4" t="inlineStr">
        <is>
          <t>Net Price</t>
        </is>
      </c>
      <c r="Q4" s="4" t="inlineStr">
        <is>
          <t>Product Range / Series</t>
        </is>
      </c>
      <c r="R4" s="4" t="inlineStr">
        <is>
          <t>Other Ratings / Specs</t>
        </is>
      </c>
      <c r="S4" s="4" t="inlineStr">
        <is>
          <t>Suitable for (Accessories)</t>
        </is>
      </c>
      <c r="T4" s="3" t="inlineStr">
        <is>
          <t>Std Pack</t>
        </is>
      </c>
      <c r="U4" s="4" t="inlineStr">
        <is>
          <t>Remarks</t>
        </is>
      </c>
      <c r="V4" s="3" t="inlineStr">
        <is>
          <t>Price List Page</t>
        </is>
      </c>
    </row>
    <row r="5" ht="20" customHeight="1">
      <c r="A5" s="5" t="n">
        <v>1</v>
      </c>
      <c r="B5" s="6" t="inlineStr">
        <is>
          <t>Lucy Electric</t>
        </is>
      </c>
      <c r="C5" s="6" t="inlineStr">
        <is>
          <t>Ring Main Unit (RMU)</t>
        </is>
      </c>
      <c r="D5" s="6" t="inlineStr">
        <is>
          <t>3-Function Ring Main Unit (2x 630A Load Break Switches + 1x 200A Switch Fuse)</t>
        </is>
      </c>
      <c r="E5" s="6" t="inlineStr">
        <is>
          <t>Aegis Plus LLF 12kV IP41</t>
        </is>
      </c>
      <c r="F5" s="6" t="inlineStr">
        <is>
          <t>Voltage: 12kV</t>
        </is>
      </c>
      <c r="G5" s="6" t="inlineStr">
        <is>
          <t>In (A): 630</t>
        </is>
      </c>
      <c r="H5" s="6" t="inlineStr">
        <is>
          <t>Withstand: 21kA 3s</t>
        </is>
      </c>
      <c r="I5" s="6" t="inlineStr">
        <is>
          <t>Extensibility: Non-Extensible</t>
        </is>
      </c>
      <c r="J5" s="6" t="inlineStr">
        <is>
          <t>Ingress: IP41 (Indoor)</t>
        </is>
      </c>
      <c r="K5" s="6" t="inlineStr">
        <is>
          <t>Complete Assembly</t>
        </is>
      </c>
      <c r="L5" s="6" t="inlineStr">
        <is>
          <t>Configured to Order</t>
        </is>
      </c>
      <c r="M5" s="6" t="inlineStr">
        <is>
          <t>AGP-NE-LLF-12kV-IP41</t>
        </is>
      </c>
      <c r="N5" s="7" t="n"/>
      <c r="O5" s="8" t="inlineStr">
        <is>
          <t>Upon request</t>
        </is>
      </c>
      <c r="P5" s="8">
        <f>IF(ISNUMBER(O5),O5*(1-N5),O5)</f>
        <v/>
      </c>
      <c r="Q5" s="6" t="inlineStr">
        <is>
          <t>Aegis Plus</t>
        </is>
      </c>
      <c r="R5" s="6" t="inlineStr">
        <is>
          <t>Dimensions: 1050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5" s="6" t="inlineStr">
        <is>
          <t>Secondary Distribution / Compact Substations</t>
        </is>
      </c>
      <c r="T5" s="5" t="n">
        <v>1</v>
      </c>
      <c r="U5" s="6" t="inlineStr">
        <is>
          <t>Factory assembled, SF6 insulated, robotic welded tank; 30+ year service life</t>
        </is>
      </c>
      <c r="V5" s="5" t="n">
        <v>10</v>
      </c>
    </row>
    <row r="6" ht="20" customHeight="1">
      <c r="A6" s="9" t="n">
        <v>2</v>
      </c>
      <c r="B6" s="10" t="inlineStr">
        <is>
          <t>Lucy Electric</t>
        </is>
      </c>
      <c r="C6" s="10" t="inlineStr">
        <is>
          <t>Ring Main Unit (RMU)</t>
        </is>
      </c>
      <c r="D6" s="10" t="inlineStr">
        <is>
          <t>3-Function Ring Main Unit (2x 630A Load Break Switches + 1x 200A Switch Fuse)</t>
        </is>
      </c>
      <c r="E6" s="10" t="inlineStr">
        <is>
          <t>Aegis Plus LLF 24kV IP41</t>
        </is>
      </c>
      <c r="F6" s="10" t="inlineStr">
        <is>
          <t>Voltage: 24kV</t>
        </is>
      </c>
      <c r="G6" s="10" t="inlineStr">
        <is>
          <t>In (A): 630</t>
        </is>
      </c>
      <c r="H6" s="10" t="inlineStr">
        <is>
          <t>Withstand: 21kA 3s</t>
        </is>
      </c>
      <c r="I6" s="10" t="inlineStr">
        <is>
          <t>Extensibility: Non-Extensible</t>
        </is>
      </c>
      <c r="J6" s="10" t="inlineStr">
        <is>
          <t>Ingress: IP41 (Indoor)</t>
        </is>
      </c>
      <c r="K6" s="10" t="inlineStr">
        <is>
          <t>Complete Assembly</t>
        </is>
      </c>
      <c r="L6" s="10" t="inlineStr">
        <is>
          <t>Configured to Order</t>
        </is>
      </c>
      <c r="M6" s="10" t="inlineStr">
        <is>
          <t>AGP-NE-LLF-24kV-IP41</t>
        </is>
      </c>
      <c r="N6" s="11" t="n"/>
      <c r="O6" s="12" t="inlineStr">
        <is>
          <t>Upon request</t>
        </is>
      </c>
      <c r="P6" s="12">
        <f>IF(ISNUMBER(O6),O6*(1-N6),O6)</f>
        <v/>
      </c>
      <c r="Q6" s="10" t="inlineStr">
        <is>
          <t>Aegis Plus</t>
        </is>
      </c>
      <c r="R6" s="10" t="inlineStr">
        <is>
          <t>Dimensions: 1050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6" s="10" t="inlineStr">
        <is>
          <t>Secondary Distribution / Compact Substations</t>
        </is>
      </c>
      <c r="T6" s="9" t="n">
        <v>1</v>
      </c>
      <c r="U6" s="10" t="inlineStr">
        <is>
          <t>Factory assembled, SF6 insulated, robotic welded tank; 30+ year service life</t>
        </is>
      </c>
      <c r="V6" s="9" t="n">
        <v>10</v>
      </c>
    </row>
    <row r="7" ht="20" customHeight="1">
      <c r="A7" s="5" t="n">
        <v>3</v>
      </c>
      <c r="B7" s="6" t="inlineStr">
        <is>
          <t>Lucy Electric</t>
        </is>
      </c>
      <c r="C7" s="6" t="inlineStr">
        <is>
          <t>Ring Main Unit (RMU)</t>
        </is>
      </c>
      <c r="D7" s="6" t="inlineStr">
        <is>
          <t>3-Function Ring Main Unit (2x 630A Load Break Switches + 1x 200A Switch Fuse) - Outdoor</t>
        </is>
      </c>
      <c r="E7" s="6" t="inlineStr">
        <is>
          <t>Aegis Plus LLF 12kV IP54</t>
        </is>
      </c>
      <c r="F7" s="6" t="inlineStr">
        <is>
          <t>Voltage: 12kV</t>
        </is>
      </c>
      <c r="G7" s="6" t="inlineStr">
        <is>
          <t>In (A): 630</t>
        </is>
      </c>
      <c r="H7" s="6" t="inlineStr">
        <is>
          <t>Withstand: 21kA 3s</t>
        </is>
      </c>
      <c r="I7" s="6" t="inlineStr">
        <is>
          <t>Extensibility: Non-Extensible</t>
        </is>
      </c>
      <c r="J7" s="6" t="inlineStr">
        <is>
          <t>Ingress: IP54 (Outdoor)</t>
        </is>
      </c>
      <c r="K7" s="6" t="inlineStr">
        <is>
          <t>Complete Assembly</t>
        </is>
      </c>
      <c r="L7" s="6" t="inlineStr">
        <is>
          <t>Configured to Order</t>
        </is>
      </c>
      <c r="M7" s="6" t="inlineStr">
        <is>
          <t>AGP-NE-LLF-12kV-IP54</t>
        </is>
      </c>
      <c r="N7" s="7" t="n"/>
      <c r="O7" s="8" t="inlineStr">
        <is>
          <t>Upon request</t>
        </is>
      </c>
      <c r="P7" s="8">
        <f>IF(ISNUMBER(O7),O7*(1-N7),O7)</f>
        <v/>
      </c>
      <c r="Q7" s="6" t="inlineStr">
        <is>
          <t>Aegis Plus</t>
        </is>
      </c>
      <c r="R7" s="6" t="inlineStr">
        <is>
          <t>Dimensions: 1050 x 785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7" s="6" t="inlineStr">
        <is>
          <t>Secondary Distribution / Compact Substations</t>
        </is>
      </c>
      <c r="T7" s="5" t="n">
        <v>1</v>
      </c>
      <c r="U7" s="6" t="inlineStr">
        <is>
          <t>Factory assembled, SF6 insulated, robotic welded tank; 30+ year service life</t>
        </is>
      </c>
      <c r="V7" s="5" t="n">
        <v>10</v>
      </c>
    </row>
    <row r="8" ht="20" customHeight="1">
      <c r="A8" s="9" t="n">
        <v>4</v>
      </c>
      <c r="B8" s="10" t="inlineStr">
        <is>
          <t>Lucy Electric</t>
        </is>
      </c>
      <c r="C8" s="10" t="inlineStr">
        <is>
          <t>Ring Main Unit (RMU)</t>
        </is>
      </c>
      <c r="D8" s="10" t="inlineStr">
        <is>
          <t>3-Function Ring Main Unit (2x 630A Load Break Switches + 1x 200A Switch Fuse) - Outdoor</t>
        </is>
      </c>
      <c r="E8" s="10" t="inlineStr">
        <is>
          <t>Aegis Plus LLF 24kV IP54</t>
        </is>
      </c>
      <c r="F8" s="10" t="inlineStr">
        <is>
          <t>Voltage: 24kV</t>
        </is>
      </c>
      <c r="G8" s="10" t="inlineStr">
        <is>
          <t>In (A): 630</t>
        </is>
      </c>
      <c r="H8" s="10" t="inlineStr">
        <is>
          <t>Withstand: 21kA 3s</t>
        </is>
      </c>
      <c r="I8" s="10" t="inlineStr">
        <is>
          <t>Extensibility: Non-Extensible</t>
        </is>
      </c>
      <c r="J8" s="10" t="inlineStr">
        <is>
          <t>Ingress: IP54 (Outdoor)</t>
        </is>
      </c>
      <c r="K8" s="10" t="inlineStr">
        <is>
          <t>Complete Assembly</t>
        </is>
      </c>
      <c r="L8" s="10" t="inlineStr">
        <is>
          <t>Configured to Order</t>
        </is>
      </c>
      <c r="M8" s="10" t="inlineStr">
        <is>
          <t>AGP-NE-LLF-24kV-IP54</t>
        </is>
      </c>
      <c r="N8" s="11" t="n"/>
      <c r="O8" s="12" t="inlineStr">
        <is>
          <t>Upon request</t>
        </is>
      </c>
      <c r="P8" s="12">
        <f>IF(ISNUMBER(O8),O8*(1-N8),O8)</f>
        <v/>
      </c>
      <c r="Q8" s="10" t="inlineStr">
        <is>
          <t>Aegis Plus</t>
        </is>
      </c>
      <c r="R8" s="10" t="inlineStr">
        <is>
          <t>Dimensions: 1050 x 785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8" s="10" t="inlineStr">
        <is>
          <t>Secondary Distribution / Compact Substations</t>
        </is>
      </c>
      <c r="T8" s="9" t="n">
        <v>1</v>
      </c>
      <c r="U8" s="10" t="inlineStr">
        <is>
          <t>Factory assembled, SF6 insulated, robotic welded tank; 30+ year service life</t>
        </is>
      </c>
      <c r="V8" s="9" t="n">
        <v>10</v>
      </c>
    </row>
    <row r="9" ht="20" customHeight="1">
      <c r="A9" s="5" t="n">
        <v>5</v>
      </c>
      <c r="B9" s="6" t="inlineStr">
        <is>
          <t>Lucy Electric</t>
        </is>
      </c>
      <c r="C9" s="6" t="inlineStr">
        <is>
          <t>Ring Main Unit (RMU)</t>
        </is>
      </c>
      <c r="D9" s="6" t="inlineStr">
        <is>
          <t>3-Function Ring Main Unit (2x 630A Load Break Switches + 1x 630A Vacuum Circuit Breaker)</t>
        </is>
      </c>
      <c r="E9" s="6" t="inlineStr">
        <is>
          <t>Aegis Plus LLV 12kV IP41</t>
        </is>
      </c>
      <c r="F9" s="6" t="inlineStr">
        <is>
          <t>Voltage: 12kV</t>
        </is>
      </c>
      <c r="G9" s="6" t="inlineStr">
        <is>
          <t>In (A): 630</t>
        </is>
      </c>
      <c r="H9" s="6" t="inlineStr">
        <is>
          <t>Withstand: 21kA 3s</t>
        </is>
      </c>
      <c r="I9" s="6" t="inlineStr">
        <is>
          <t>Extensibility: Non-Extensible</t>
        </is>
      </c>
      <c r="J9" s="6" t="inlineStr">
        <is>
          <t>Ingress: IP41 (Indoor)</t>
        </is>
      </c>
      <c r="K9" s="6" t="inlineStr">
        <is>
          <t>Complete Assembly</t>
        </is>
      </c>
      <c r="L9" s="6" t="inlineStr">
        <is>
          <t>Configured to Order</t>
        </is>
      </c>
      <c r="M9" s="6" t="inlineStr">
        <is>
          <t>AGP-NE-LLV-12kV-IP41</t>
        </is>
      </c>
      <c r="N9" s="7" t="n"/>
      <c r="O9" s="8" t="inlineStr">
        <is>
          <t>Upon request</t>
        </is>
      </c>
      <c r="P9" s="8">
        <f>IF(ISNUMBER(O9),O9*(1-N9),O9)</f>
        <v/>
      </c>
      <c r="Q9" s="6" t="inlineStr">
        <is>
          <t>Aegis Plus</t>
        </is>
      </c>
      <c r="R9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9" s="6" t="inlineStr">
        <is>
          <t>Secondary Distribution / Compact Substations</t>
        </is>
      </c>
      <c r="T9" s="5" t="n">
        <v>1</v>
      </c>
      <c r="U9" s="6" t="inlineStr">
        <is>
          <t>Factory assembled, SF6 insulated, robotic welded tank; 30+ year service life</t>
        </is>
      </c>
      <c r="V9" s="5" t="n">
        <v>10</v>
      </c>
    </row>
    <row r="10" ht="20" customHeight="1">
      <c r="A10" s="9" t="n">
        <v>6</v>
      </c>
      <c r="B10" s="10" t="inlineStr">
        <is>
          <t>Lucy Electric</t>
        </is>
      </c>
      <c r="C10" s="10" t="inlineStr">
        <is>
          <t>Ring Main Unit (RMU)</t>
        </is>
      </c>
      <c r="D10" s="10" t="inlineStr">
        <is>
          <t>3-Function Ring Main Unit (2x 630A Load Break Switches + 1x 630A Vacuum Circuit Breaker)</t>
        </is>
      </c>
      <c r="E10" s="10" t="inlineStr">
        <is>
          <t>Aegis Plus LLV 17.5kV IP41</t>
        </is>
      </c>
      <c r="F10" s="10" t="inlineStr">
        <is>
          <t>Voltage: 17.5kV</t>
        </is>
      </c>
      <c r="G10" s="10" t="inlineStr">
        <is>
          <t>In (A): 630</t>
        </is>
      </c>
      <c r="H10" s="10" t="inlineStr">
        <is>
          <t>Withstand: 21kA 3s</t>
        </is>
      </c>
      <c r="I10" s="10" t="inlineStr">
        <is>
          <t>Extensibility: Non-Extensible</t>
        </is>
      </c>
      <c r="J10" s="10" t="inlineStr">
        <is>
          <t>Ingress: IP41 (Indoor)</t>
        </is>
      </c>
      <c r="K10" s="10" t="inlineStr">
        <is>
          <t>Complete Assembly</t>
        </is>
      </c>
      <c r="L10" s="10" t="inlineStr">
        <is>
          <t>Configured to Order</t>
        </is>
      </c>
      <c r="M10" s="10" t="inlineStr">
        <is>
          <t>AGP-NE-LLV-17.5kV-IP41</t>
        </is>
      </c>
      <c r="N10" s="11" t="n"/>
      <c r="O10" s="12" t="inlineStr">
        <is>
          <t>Upon request</t>
        </is>
      </c>
      <c r="P10" s="12">
        <f>IF(ISNUMBER(O10),O10*(1-N10),O10)</f>
        <v/>
      </c>
      <c r="Q10" s="10" t="inlineStr">
        <is>
          <t>Aegis Plus</t>
        </is>
      </c>
      <c r="R10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0" s="10" t="inlineStr">
        <is>
          <t>Secondary Distribution / Compact Substations</t>
        </is>
      </c>
      <c r="T10" s="9" t="n">
        <v>1</v>
      </c>
      <c r="U10" s="10" t="inlineStr">
        <is>
          <t>Factory assembled, SF6 insulated, robotic welded tank; 30+ year service life</t>
        </is>
      </c>
      <c r="V10" s="9" t="n">
        <v>10</v>
      </c>
    </row>
    <row r="11" ht="20" customHeight="1">
      <c r="A11" s="5" t="n">
        <v>7</v>
      </c>
      <c r="B11" s="6" t="inlineStr">
        <is>
          <t>Lucy Electric</t>
        </is>
      </c>
      <c r="C11" s="6" t="inlineStr">
        <is>
          <t>Ring Main Unit (RMU)</t>
        </is>
      </c>
      <c r="D11" s="6" t="inlineStr">
        <is>
          <t>3-Function Ring Main Unit (2x 630A Load Break Switches + 1x 630A Vacuum Circuit Breaker)</t>
        </is>
      </c>
      <c r="E11" s="6" t="inlineStr">
        <is>
          <t>Aegis Plus LLV 24kV IP41</t>
        </is>
      </c>
      <c r="F11" s="6" t="inlineStr">
        <is>
          <t>Voltage: 24kV</t>
        </is>
      </c>
      <c r="G11" s="6" t="inlineStr">
        <is>
          <t>In (A): 630</t>
        </is>
      </c>
      <c r="H11" s="6" t="inlineStr">
        <is>
          <t>Withstand: 21kA 3s</t>
        </is>
      </c>
      <c r="I11" s="6" t="inlineStr">
        <is>
          <t>Extensibility: Non-Extensible</t>
        </is>
      </c>
      <c r="J11" s="6" t="inlineStr">
        <is>
          <t>Ingress: IP41 (Indoor)</t>
        </is>
      </c>
      <c r="K11" s="6" t="inlineStr">
        <is>
          <t>Complete Assembly</t>
        </is>
      </c>
      <c r="L11" s="6" t="inlineStr">
        <is>
          <t>Configured to Order</t>
        </is>
      </c>
      <c r="M11" s="6" t="inlineStr">
        <is>
          <t>AGP-NE-LLV-24kV-IP41</t>
        </is>
      </c>
      <c r="N11" s="7" t="n"/>
      <c r="O11" s="8" t="inlineStr">
        <is>
          <t>Upon request</t>
        </is>
      </c>
      <c r="P11" s="8">
        <f>IF(ISNUMBER(O11),O11*(1-N11),O11)</f>
        <v/>
      </c>
      <c r="Q11" s="6" t="inlineStr">
        <is>
          <t>Aegis Plus</t>
        </is>
      </c>
      <c r="R11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1" s="6" t="inlineStr">
        <is>
          <t>Secondary Distribution / Compact Substations</t>
        </is>
      </c>
      <c r="T11" s="5" t="n">
        <v>1</v>
      </c>
      <c r="U11" s="6" t="inlineStr">
        <is>
          <t>Factory assembled, SF6 insulated, robotic welded tank; 30+ year service life</t>
        </is>
      </c>
      <c r="V11" s="5" t="n">
        <v>10</v>
      </c>
    </row>
    <row r="12" ht="20" customHeight="1">
      <c r="A12" s="9" t="n">
        <v>8</v>
      </c>
      <c r="B12" s="10" t="inlineStr">
        <is>
          <t>Lucy Electric</t>
        </is>
      </c>
      <c r="C12" s="10" t="inlineStr">
        <is>
          <t>Ring Main Unit (RMU)</t>
        </is>
      </c>
      <c r="D12" s="10" t="inlineStr">
        <is>
          <t>3-Function Ring Main Unit (2x 630A Load Break Switches + 1x 630A Vacuum Circuit Breaker) - Outdoor</t>
        </is>
      </c>
      <c r="E12" s="10" t="inlineStr">
        <is>
          <t>Aegis Plus LLV 12kV IP54</t>
        </is>
      </c>
      <c r="F12" s="10" t="inlineStr">
        <is>
          <t>Voltage: 12kV</t>
        </is>
      </c>
      <c r="G12" s="10" t="inlineStr">
        <is>
          <t>In (A): 630</t>
        </is>
      </c>
      <c r="H12" s="10" t="inlineStr">
        <is>
          <t>Withstand: 21kA 3s</t>
        </is>
      </c>
      <c r="I12" s="10" t="inlineStr">
        <is>
          <t>Extensibility: Non-Extensible</t>
        </is>
      </c>
      <c r="J12" s="10" t="inlineStr">
        <is>
          <t>Ingress: IP54 (Outdoor)</t>
        </is>
      </c>
      <c r="K12" s="10" t="inlineStr">
        <is>
          <t>Complete Assembly</t>
        </is>
      </c>
      <c r="L12" s="10" t="inlineStr">
        <is>
          <t>Configured to Order</t>
        </is>
      </c>
      <c r="M12" s="10" t="inlineStr">
        <is>
          <t>AGP-NE-LLV-12kV-IP54</t>
        </is>
      </c>
      <c r="N12" s="11" t="n"/>
      <c r="O12" s="12" t="inlineStr">
        <is>
          <t>Upon request</t>
        </is>
      </c>
      <c r="P12" s="12">
        <f>IF(ISNUMBER(O12),O12*(1-N12),O12)</f>
        <v/>
      </c>
      <c r="Q12" s="10" t="inlineStr">
        <is>
          <t>Aegis Plus</t>
        </is>
      </c>
      <c r="R12" s="10" t="inlineStr">
        <is>
          <t>Dimensions: 1050 x 715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2" s="10" t="inlineStr">
        <is>
          <t>Secondary Distribution / Compact Substations</t>
        </is>
      </c>
      <c r="T12" s="9" t="n">
        <v>1</v>
      </c>
      <c r="U12" s="10" t="inlineStr">
        <is>
          <t>Factory assembled, SF6 insulated, robotic welded tank; 30+ year service life</t>
        </is>
      </c>
      <c r="V12" s="9" t="n">
        <v>10</v>
      </c>
    </row>
    <row r="13" ht="20" customHeight="1">
      <c r="A13" s="5" t="n">
        <v>9</v>
      </c>
      <c r="B13" s="6" t="inlineStr">
        <is>
          <t>Lucy Electric</t>
        </is>
      </c>
      <c r="C13" s="6" t="inlineStr">
        <is>
          <t>Ring Main Unit (RMU)</t>
        </is>
      </c>
      <c r="D13" s="6" t="inlineStr">
        <is>
          <t>3-Function Ring Main Unit (2x 630A Load Break Switches + 1x 630A Vacuum Circuit Breaker) - Outdoor</t>
        </is>
      </c>
      <c r="E13" s="6" t="inlineStr">
        <is>
          <t>Aegis Plus LLV 24kV IP54</t>
        </is>
      </c>
      <c r="F13" s="6" t="inlineStr">
        <is>
          <t>Voltage: 24kV</t>
        </is>
      </c>
      <c r="G13" s="6" t="inlineStr">
        <is>
          <t>In (A): 630</t>
        </is>
      </c>
      <c r="H13" s="6" t="inlineStr">
        <is>
          <t>Withstand: 21kA 3s</t>
        </is>
      </c>
      <c r="I13" s="6" t="inlineStr">
        <is>
          <t>Extensibility: Non-Extensible</t>
        </is>
      </c>
      <c r="J13" s="6" t="inlineStr">
        <is>
          <t>Ingress: IP54 (Outdoor)</t>
        </is>
      </c>
      <c r="K13" s="6" t="inlineStr">
        <is>
          <t>Complete Assembly</t>
        </is>
      </c>
      <c r="L13" s="6" t="inlineStr">
        <is>
          <t>Configured to Order</t>
        </is>
      </c>
      <c r="M13" s="6" t="inlineStr">
        <is>
          <t>AGP-NE-LLV-24kV-IP54</t>
        </is>
      </c>
      <c r="N13" s="7" t="n"/>
      <c r="O13" s="8" t="inlineStr">
        <is>
          <t>Upon request</t>
        </is>
      </c>
      <c r="P13" s="8">
        <f>IF(ISNUMBER(O13),O13*(1-N13),O13)</f>
        <v/>
      </c>
      <c r="Q13" s="6" t="inlineStr">
        <is>
          <t>Aegis Plus</t>
        </is>
      </c>
      <c r="R13" s="6" t="inlineStr">
        <is>
          <t>Dimensions: 1050 x 715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3" s="6" t="inlineStr">
        <is>
          <t>Secondary Distribution / Compact Substations</t>
        </is>
      </c>
      <c r="T13" s="5" t="n">
        <v>1</v>
      </c>
      <c r="U13" s="6" t="inlineStr">
        <is>
          <t>Factory assembled, SF6 insulated, robotic welded tank; 30+ year service life</t>
        </is>
      </c>
      <c r="V13" s="5" t="n">
        <v>10</v>
      </c>
    </row>
    <row r="14" ht="20" customHeight="1">
      <c r="A14" s="9" t="n">
        <v>10</v>
      </c>
      <c r="B14" s="10" t="inlineStr">
        <is>
          <t>Lucy Electric</t>
        </is>
      </c>
      <c r="C14" s="10" t="inlineStr">
        <is>
          <t>Ring Main Unit (RMU)</t>
        </is>
      </c>
      <c r="D14" s="10" t="inlineStr">
        <is>
          <t>3-Function Ring Main Unit (2x 630A Load Break Switches + 1x 250A Vacuum Circuit Breaker)</t>
        </is>
      </c>
      <c r="E14" s="10" t="inlineStr">
        <is>
          <t>Aegis Plus LLT 12kV IP41</t>
        </is>
      </c>
      <c r="F14" s="10" t="inlineStr">
        <is>
          <t>Voltage: 12kV</t>
        </is>
      </c>
      <c r="G14" s="10" t="inlineStr">
        <is>
          <t>In (A): 630</t>
        </is>
      </c>
      <c r="H14" s="10" t="inlineStr">
        <is>
          <t>Withstand: 21kA 3s</t>
        </is>
      </c>
      <c r="I14" s="10" t="inlineStr">
        <is>
          <t>Extensibility: Non-Extensible</t>
        </is>
      </c>
      <c r="J14" s="10" t="inlineStr">
        <is>
          <t>Ingress: IP41 (Indoor)</t>
        </is>
      </c>
      <c r="K14" s="10" t="inlineStr">
        <is>
          <t>Complete Assembly</t>
        </is>
      </c>
      <c r="L14" s="10" t="inlineStr">
        <is>
          <t>Configured to Order</t>
        </is>
      </c>
      <c r="M14" s="10" t="inlineStr">
        <is>
          <t>AGP-NE-LLT-12kV-IP41</t>
        </is>
      </c>
      <c r="N14" s="11" t="n"/>
      <c r="O14" s="12" t="inlineStr">
        <is>
          <t>Upon request</t>
        </is>
      </c>
      <c r="P14" s="12">
        <f>IF(ISNUMBER(O14),O14*(1-N14),O14)</f>
        <v/>
      </c>
      <c r="Q14" s="10" t="inlineStr">
        <is>
          <t>Aegis Plus</t>
        </is>
      </c>
      <c r="R14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4" s="10" t="inlineStr">
        <is>
          <t>Secondary Distribution / Compact Substations</t>
        </is>
      </c>
      <c r="T14" s="9" t="n">
        <v>1</v>
      </c>
      <c r="U14" s="10" t="inlineStr">
        <is>
          <t>Factory assembled, SF6 insulated, robotic welded tank; 30+ year service life</t>
        </is>
      </c>
      <c r="V14" s="9" t="n">
        <v>10</v>
      </c>
    </row>
    <row r="15" ht="20" customHeight="1">
      <c r="A15" s="5" t="n">
        <v>11</v>
      </c>
      <c r="B15" s="6" t="inlineStr">
        <is>
          <t>Lucy Electric</t>
        </is>
      </c>
      <c r="C15" s="6" t="inlineStr">
        <is>
          <t>Ring Main Unit (RMU)</t>
        </is>
      </c>
      <c r="D15" s="6" t="inlineStr">
        <is>
          <t>3-Function Ring Main Unit (2x 630A Load Break Switches + 1x 250A Vacuum Circuit Breaker)</t>
        </is>
      </c>
      <c r="E15" s="6" t="inlineStr">
        <is>
          <t>Aegis Plus LLT 24kV IP41</t>
        </is>
      </c>
      <c r="F15" s="6" t="inlineStr">
        <is>
          <t>Voltage: 24kV</t>
        </is>
      </c>
      <c r="G15" s="6" t="inlineStr">
        <is>
          <t>In (A): 630</t>
        </is>
      </c>
      <c r="H15" s="6" t="inlineStr">
        <is>
          <t>Withstand: 21kA 3s</t>
        </is>
      </c>
      <c r="I15" s="6" t="inlineStr">
        <is>
          <t>Extensibility: Non-Extensible</t>
        </is>
      </c>
      <c r="J15" s="6" t="inlineStr">
        <is>
          <t>Ingress: IP41 (Indoor)</t>
        </is>
      </c>
      <c r="K15" s="6" t="inlineStr">
        <is>
          <t>Complete Assembly</t>
        </is>
      </c>
      <c r="L15" s="6" t="inlineStr">
        <is>
          <t>Configured to Order</t>
        </is>
      </c>
      <c r="M15" s="6" t="inlineStr">
        <is>
          <t>AGP-NE-LLT-24kV-IP41</t>
        </is>
      </c>
      <c r="N15" s="7" t="n"/>
      <c r="O15" s="8" t="inlineStr">
        <is>
          <t>Upon request</t>
        </is>
      </c>
      <c r="P15" s="8">
        <f>IF(ISNUMBER(O15),O15*(1-N15),O15)</f>
        <v/>
      </c>
      <c r="Q15" s="6" t="inlineStr">
        <is>
          <t>Aegis Plus</t>
        </is>
      </c>
      <c r="R15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5" s="6" t="inlineStr">
        <is>
          <t>Secondary Distribution / Compact Substations</t>
        </is>
      </c>
      <c r="T15" s="5" t="n">
        <v>1</v>
      </c>
      <c r="U15" s="6" t="inlineStr">
        <is>
          <t>Factory assembled, SF6 insulated, robotic welded tank; 30+ year service life</t>
        </is>
      </c>
      <c r="V15" s="5" t="n">
        <v>10</v>
      </c>
    </row>
    <row r="16" ht="20" customHeight="1">
      <c r="A16" s="9" t="n">
        <v>12</v>
      </c>
      <c r="B16" s="10" t="inlineStr">
        <is>
          <t>Lucy Electric</t>
        </is>
      </c>
      <c r="C16" s="10" t="inlineStr">
        <is>
          <t>Ring Main Unit (RMU)</t>
        </is>
      </c>
      <c r="D16" s="10" t="inlineStr">
        <is>
          <t>3-Function Ring Main Unit (2x 630A Load Break Switches + 1x 630A Auto-Reclose VCB)</t>
        </is>
      </c>
      <c r="E16" s="10" t="inlineStr">
        <is>
          <t>Aegis Plus LLC 12kV IP41</t>
        </is>
      </c>
      <c r="F16" s="10" t="inlineStr">
        <is>
          <t>Voltage: 12kV</t>
        </is>
      </c>
      <c r="G16" s="10" t="inlineStr">
        <is>
          <t>In (A): 630</t>
        </is>
      </c>
      <c r="H16" s="10" t="inlineStr">
        <is>
          <t>Withstand: 21kA 3s</t>
        </is>
      </c>
      <c r="I16" s="10" t="inlineStr">
        <is>
          <t>Extensibility: Non-Extensible</t>
        </is>
      </c>
      <c r="J16" s="10" t="inlineStr">
        <is>
          <t>Ingress: IP41 (Indoor)</t>
        </is>
      </c>
      <c r="K16" s="10" t="inlineStr">
        <is>
          <t>Complete Assembly</t>
        </is>
      </c>
      <c r="L16" s="10" t="inlineStr">
        <is>
          <t>Configured to Order</t>
        </is>
      </c>
      <c r="M16" s="10" t="inlineStr">
        <is>
          <t>AGP-NE-LLC-12kV-IP41</t>
        </is>
      </c>
      <c r="N16" s="11" t="n"/>
      <c r="O16" s="12" t="inlineStr">
        <is>
          <t>Upon request</t>
        </is>
      </c>
      <c r="P16" s="12">
        <f>IF(ISNUMBER(O16),O16*(1-N16),O16)</f>
        <v/>
      </c>
      <c r="Q16" s="10" t="inlineStr">
        <is>
          <t>Aegis Plus</t>
        </is>
      </c>
      <c r="R16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6" s="10" t="inlineStr">
        <is>
          <t>Secondary Distribution / Compact Substations</t>
        </is>
      </c>
      <c r="T16" s="9" t="n">
        <v>1</v>
      </c>
      <c r="U16" s="10" t="inlineStr">
        <is>
          <t>Factory assembled, SF6 insulated, robotic welded tank; 30+ year service life</t>
        </is>
      </c>
      <c r="V16" s="9" t="n">
        <v>10</v>
      </c>
    </row>
    <row r="17" ht="20" customHeight="1">
      <c r="A17" s="5" t="n">
        <v>13</v>
      </c>
      <c r="B17" s="6" t="inlineStr">
        <is>
          <t>Lucy Electric</t>
        </is>
      </c>
      <c r="C17" s="6" t="inlineStr">
        <is>
          <t>Ring Main Unit (RMU)</t>
        </is>
      </c>
      <c r="D17" s="6" t="inlineStr">
        <is>
          <t>3-Function Ring Main Unit (2x 630A Load Break Switches + 1x 630A Auto-Reclose VCB)</t>
        </is>
      </c>
      <c r="E17" s="6" t="inlineStr">
        <is>
          <t>Aegis Plus LLC 24kV IP41</t>
        </is>
      </c>
      <c r="F17" s="6" t="inlineStr">
        <is>
          <t>Voltage: 24kV</t>
        </is>
      </c>
      <c r="G17" s="6" t="inlineStr">
        <is>
          <t>In (A): 630</t>
        </is>
      </c>
      <c r="H17" s="6" t="inlineStr">
        <is>
          <t>Withstand: 21kA 3s</t>
        </is>
      </c>
      <c r="I17" s="6" t="inlineStr">
        <is>
          <t>Extensibility: Non-Extensible</t>
        </is>
      </c>
      <c r="J17" s="6" t="inlineStr">
        <is>
          <t>Ingress: IP41 (Indoor)</t>
        </is>
      </c>
      <c r="K17" s="6" t="inlineStr">
        <is>
          <t>Complete Assembly</t>
        </is>
      </c>
      <c r="L17" s="6" t="inlineStr">
        <is>
          <t>Configured to Order</t>
        </is>
      </c>
      <c r="M17" s="6" t="inlineStr">
        <is>
          <t>AGP-NE-LLC-24kV-IP41</t>
        </is>
      </c>
      <c r="N17" s="7" t="n"/>
      <c r="O17" s="8" t="inlineStr">
        <is>
          <t>Upon request</t>
        </is>
      </c>
      <c r="P17" s="8">
        <f>IF(ISNUMBER(O17),O17*(1-N17),O17)</f>
        <v/>
      </c>
      <c r="Q17" s="6" t="inlineStr">
        <is>
          <t>Aegis Plus</t>
        </is>
      </c>
      <c r="R17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7" s="6" t="inlineStr">
        <is>
          <t>Secondary Distribution / Compact Substations</t>
        </is>
      </c>
      <c r="T17" s="5" t="n">
        <v>1</v>
      </c>
      <c r="U17" s="6" t="inlineStr">
        <is>
          <t>Factory assembled, SF6 insulated, robotic welded tank; 30+ year service life</t>
        </is>
      </c>
      <c r="V17" s="5" t="n">
        <v>10</v>
      </c>
    </row>
    <row r="18" ht="20" customHeight="1">
      <c r="A18" s="9" t="n">
        <v>14</v>
      </c>
      <c r="B18" s="10" t="inlineStr">
        <is>
          <t>Lucy Electric</t>
        </is>
      </c>
      <c r="C18" s="10" t="inlineStr">
        <is>
          <t>Ring Main Unit (RMU)</t>
        </is>
      </c>
      <c r="D18" s="10" t="inlineStr">
        <is>
          <t>3-Function Switch Unit (3x 630A Load Break Switches)</t>
        </is>
      </c>
      <c r="E18" s="10" t="inlineStr">
        <is>
          <t>Aegis Plus LLL 12kV IP41</t>
        </is>
      </c>
      <c r="F18" s="10" t="inlineStr">
        <is>
          <t>Voltage: 12kV</t>
        </is>
      </c>
      <c r="G18" s="10" t="inlineStr">
        <is>
          <t>In (A): 630</t>
        </is>
      </c>
      <c r="H18" s="10" t="inlineStr">
        <is>
          <t>Withstand: 21kA 3s</t>
        </is>
      </c>
      <c r="I18" s="10" t="inlineStr">
        <is>
          <t>Extensibility: Non-Extensible</t>
        </is>
      </c>
      <c r="J18" s="10" t="inlineStr">
        <is>
          <t>Ingress: IP41 (Indoor)</t>
        </is>
      </c>
      <c r="K18" s="10" t="inlineStr">
        <is>
          <t>Complete Assembly</t>
        </is>
      </c>
      <c r="L18" s="10" t="inlineStr">
        <is>
          <t>Configured to Order</t>
        </is>
      </c>
      <c r="M18" s="10" t="inlineStr">
        <is>
          <t>AGP-NE-LLL-12kV-IP41</t>
        </is>
      </c>
      <c r="N18" s="11" t="n"/>
      <c r="O18" s="12" t="inlineStr">
        <is>
          <t>Upon request</t>
        </is>
      </c>
      <c r="P18" s="12">
        <f>IF(ISNUMBER(O18),O18*(1-N18),O18)</f>
        <v/>
      </c>
      <c r="Q18" s="10" t="inlineStr">
        <is>
          <t>Aegis Plus</t>
        </is>
      </c>
      <c r="R18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8" s="10" t="inlineStr">
        <is>
          <t>Secondary Distribution / Compact Substations</t>
        </is>
      </c>
      <c r="T18" s="9" t="n">
        <v>1</v>
      </c>
      <c r="U18" s="10" t="inlineStr">
        <is>
          <t>Factory assembled, SF6 insulated, robotic welded tank; 30+ year service life</t>
        </is>
      </c>
      <c r="V18" s="9" t="n">
        <v>10</v>
      </c>
    </row>
    <row r="19" ht="20" customHeight="1">
      <c r="A19" s="5" t="n">
        <v>15</v>
      </c>
      <c r="B19" s="6" t="inlineStr">
        <is>
          <t>Lucy Electric</t>
        </is>
      </c>
      <c r="C19" s="6" t="inlineStr">
        <is>
          <t>Ring Main Unit (RMU)</t>
        </is>
      </c>
      <c r="D19" s="6" t="inlineStr">
        <is>
          <t>3-Function Switch Unit (3x 630A Load Break Switches)</t>
        </is>
      </c>
      <c r="E19" s="6" t="inlineStr">
        <is>
          <t>Aegis Plus LLL 24kV IP41</t>
        </is>
      </c>
      <c r="F19" s="6" t="inlineStr">
        <is>
          <t>Voltage: 24kV</t>
        </is>
      </c>
      <c r="G19" s="6" t="inlineStr">
        <is>
          <t>In (A): 630</t>
        </is>
      </c>
      <c r="H19" s="6" t="inlineStr">
        <is>
          <t>Withstand: 21kA 3s</t>
        </is>
      </c>
      <c r="I19" s="6" t="inlineStr">
        <is>
          <t>Extensibility: Non-Extensible</t>
        </is>
      </c>
      <c r="J19" s="6" t="inlineStr">
        <is>
          <t>Ingress: IP41 (Indoor)</t>
        </is>
      </c>
      <c r="K19" s="6" t="inlineStr">
        <is>
          <t>Complete Assembly</t>
        </is>
      </c>
      <c r="L19" s="6" t="inlineStr">
        <is>
          <t>Configured to Order</t>
        </is>
      </c>
      <c r="M19" s="6" t="inlineStr">
        <is>
          <t>AGP-NE-LLL-24kV-IP41</t>
        </is>
      </c>
      <c r="N19" s="7" t="n"/>
      <c r="O19" s="8" t="inlineStr">
        <is>
          <t>Upon request</t>
        </is>
      </c>
      <c r="P19" s="8">
        <f>IF(ISNUMBER(O19),O19*(1-N19),O19)</f>
        <v/>
      </c>
      <c r="Q19" s="6" t="inlineStr">
        <is>
          <t>Aegis Plus</t>
        </is>
      </c>
      <c r="R19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19" s="6" t="inlineStr">
        <is>
          <t>Secondary Distribution / Compact Substations</t>
        </is>
      </c>
      <c r="T19" s="5" t="n">
        <v>1</v>
      </c>
      <c r="U19" s="6" t="inlineStr">
        <is>
          <t>Factory assembled, SF6 insulated, robotic welded tank; 30+ year service life</t>
        </is>
      </c>
      <c r="V19" s="5" t="n">
        <v>10</v>
      </c>
    </row>
    <row r="20" ht="20" customHeight="1">
      <c r="A20" s="9" t="n">
        <v>16</v>
      </c>
      <c r="B20" s="10" t="inlineStr">
        <is>
          <t>Lucy Electric</t>
        </is>
      </c>
      <c r="C20" s="10" t="inlineStr">
        <is>
          <t>Ring Main Unit (RMU)</t>
        </is>
      </c>
      <c r="D20" s="10" t="inlineStr">
        <is>
          <t>4-Function Ring Main Unit (3x 630A Load Break Switches + 1x 200A Switch Fuse)</t>
        </is>
      </c>
      <c r="E20" s="10" t="inlineStr">
        <is>
          <t>Aegis Plus LLLF 12kV IP41</t>
        </is>
      </c>
      <c r="F20" s="10" t="inlineStr">
        <is>
          <t>Voltage: 12kV</t>
        </is>
      </c>
      <c r="G20" s="10" t="inlineStr">
        <is>
          <t>In (A): 630</t>
        </is>
      </c>
      <c r="H20" s="10" t="inlineStr">
        <is>
          <t>Withstand: 21kA 3s</t>
        </is>
      </c>
      <c r="I20" s="10" t="inlineStr">
        <is>
          <t>Extensibility: Non-Extensible</t>
        </is>
      </c>
      <c r="J20" s="10" t="inlineStr">
        <is>
          <t>Ingress: IP41 (Indoor)</t>
        </is>
      </c>
      <c r="K20" s="10" t="inlineStr">
        <is>
          <t>Complete Assembly</t>
        </is>
      </c>
      <c r="L20" s="10" t="inlineStr">
        <is>
          <t>Configured to Order</t>
        </is>
      </c>
      <c r="M20" s="10" t="inlineStr">
        <is>
          <t>AGP-NE-LLLF-12kV-IP41</t>
        </is>
      </c>
      <c r="N20" s="11" t="n"/>
      <c r="O20" s="12" t="inlineStr">
        <is>
          <t>Upon request</t>
        </is>
      </c>
      <c r="P20" s="12">
        <f>IF(ISNUMBER(O20),O20*(1-N20),O20)</f>
        <v/>
      </c>
      <c r="Q20" s="10" t="inlineStr">
        <is>
          <t>Aegis Plus</t>
        </is>
      </c>
      <c r="R20" s="10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0" s="10" t="inlineStr">
        <is>
          <t>Secondary Distribution / Compact Substations</t>
        </is>
      </c>
      <c r="T20" s="9" t="n">
        <v>1</v>
      </c>
      <c r="U20" s="10" t="inlineStr">
        <is>
          <t>Factory assembled, SF6 insulated, robotic welded tank; 30+ year service life</t>
        </is>
      </c>
      <c r="V20" s="9" t="n">
        <v>10</v>
      </c>
    </row>
    <row r="21" ht="20" customHeight="1">
      <c r="A21" s="5" t="n">
        <v>17</v>
      </c>
      <c r="B21" s="6" t="inlineStr">
        <is>
          <t>Lucy Electric</t>
        </is>
      </c>
      <c r="C21" s="6" t="inlineStr">
        <is>
          <t>Ring Main Unit (RMU)</t>
        </is>
      </c>
      <c r="D21" s="6" t="inlineStr">
        <is>
          <t>4-Function Ring Main Unit (3x 630A Load Break Switches + 1x 200A Switch Fuse)</t>
        </is>
      </c>
      <c r="E21" s="6" t="inlineStr">
        <is>
          <t>Aegis Plus LLLF 24kV IP41</t>
        </is>
      </c>
      <c r="F21" s="6" t="inlineStr">
        <is>
          <t>Voltage: 24kV</t>
        </is>
      </c>
      <c r="G21" s="6" t="inlineStr">
        <is>
          <t>In (A): 630</t>
        </is>
      </c>
      <c r="H21" s="6" t="inlineStr">
        <is>
          <t>Withstand: 21kA 3s</t>
        </is>
      </c>
      <c r="I21" s="6" t="inlineStr">
        <is>
          <t>Extensibility: Non-Extensible</t>
        </is>
      </c>
      <c r="J21" s="6" t="inlineStr">
        <is>
          <t>Ingress: IP41 (Indoor)</t>
        </is>
      </c>
      <c r="K21" s="6" t="inlineStr">
        <is>
          <t>Complete Assembly</t>
        </is>
      </c>
      <c r="L21" s="6" t="inlineStr">
        <is>
          <t>Configured to Order</t>
        </is>
      </c>
      <c r="M21" s="6" t="inlineStr">
        <is>
          <t>AGP-NE-LLLF-24kV-IP41</t>
        </is>
      </c>
      <c r="N21" s="7" t="n"/>
      <c r="O21" s="8" t="inlineStr">
        <is>
          <t>Upon request</t>
        </is>
      </c>
      <c r="P21" s="8">
        <f>IF(ISNUMBER(O21),O21*(1-N21),O21)</f>
        <v/>
      </c>
      <c r="Q21" s="6" t="inlineStr">
        <is>
          <t>Aegis Plus</t>
        </is>
      </c>
      <c r="R21" s="6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1" s="6" t="inlineStr">
        <is>
          <t>Secondary Distribution / Compact Substations</t>
        </is>
      </c>
      <c r="T21" s="5" t="n">
        <v>1</v>
      </c>
      <c r="U21" s="6" t="inlineStr">
        <is>
          <t>Factory assembled, SF6 insulated, robotic welded tank; 30+ year service life</t>
        </is>
      </c>
      <c r="V21" s="5" t="n">
        <v>10</v>
      </c>
    </row>
    <row r="22" ht="20" customHeight="1">
      <c r="A22" s="9" t="n">
        <v>18</v>
      </c>
      <c r="B22" s="10" t="inlineStr">
        <is>
          <t>Lucy Electric</t>
        </is>
      </c>
      <c r="C22" s="10" t="inlineStr">
        <is>
          <t>Ring Main Unit (RMU)</t>
        </is>
      </c>
      <c r="D22" s="10" t="inlineStr">
        <is>
          <t>4-Function Ring Main Unit (3x 630A Load Break Switches + 1x 630A Vacuum Circuit Breaker)</t>
        </is>
      </c>
      <c r="E22" s="10" t="inlineStr">
        <is>
          <t>Aegis Plus LLLV 12kV IP41</t>
        </is>
      </c>
      <c r="F22" s="10" t="inlineStr">
        <is>
          <t>Voltage: 12kV</t>
        </is>
      </c>
      <c r="G22" s="10" t="inlineStr">
        <is>
          <t>In (A): 630</t>
        </is>
      </c>
      <c r="H22" s="10" t="inlineStr">
        <is>
          <t>Withstand: 21kA 3s</t>
        </is>
      </c>
      <c r="I22" s="10" t="inlineStr">
        <is>
          <t>Extensibility: Non-Extensible</t>
        </is>
      </c>
      <c r="J22" s="10" t="inlineStr">
        <is>
          <t>Ingress: IP41 (Indoor)</t>
        </is>
      </c>
      <c r="K22" s="10" t="inlineStr">
        <is>
          <t>Complete Assembly</t>
        </is>
      </c>
      <c r="L22" s="10" t="inlineStr">
        <is>
          <t>Configured to Order</t>
        </is>
      </c>
      <c r="M22" s="10" t="inlineStr">
        <is>
          <t>AGP-NE-LLLV-12kV-IP41</t>
        </is>
      </c>
      <c r="N22" s="11" t="n"/>
      <c r="O22" s="12" t="inlineStr">
        <is>
          <t>Upon request</t>
        </is>
      </c>
      <c r="P22" s="12">
        <f>IF(ISNUMBER(O22),O22*(1-N22),O22)</f>
        <v/>
      </c>
      <c r="Q22" s="10" t="inlineStr">
        <is>
          <t>Aegis Plus</t>
        </is>
      </c>
      <c r="R22" s="10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2" s="10" t="inlineStr">
        <is>
          <t>Secondary Distribution / Compact Substations</t>
        </is>
      </c>
      <c r="T22" s="9" t="n">
        <v>1</v>
      </c>
      <c r="U22" s="10" t="inlineStr">
        <is>
          <t>Factory assembled, SF6 insulated, robotic welded tank; 30+ year service life</t>
        </is>
      </c>
      <c r="V22" s="9" t="n">
        <v>10</v>
      </c>
    </row>
    <row r="23" ht="20" customHeight="1">
      <c r="A23" s="5" t="n">
        <v>19</v>
      </c>
      <c r="B23" s="6" t="inlineStr">
        <is>
          <t>Lucy Electric</t>
        </is>
      </c>
      <c r="C23" s="6" t="inlineStr">
        <is>
          <t>Ring Main Unit (RMU)</t>
        </is>
      </c>
      <c r="D23" s="6" t="inlineStr">
        <is>
          <t>4-Function Ring Main Unit (3x 630A Load Break Switches + 1x 630A Vacuum Circuit Breaker)</t>
        </is>
      </c>
      <c r="E23" s="6" t="inlineStr">
        <is>
          <t>Aegis Plus LLLV 24kV IP41</t>
        </is>
      </c>
      <c r="F23" s="6" t="inlineStr">
        <is>
          <t>Voltage: 24kV</t>
        </is>
      </c>
      <c r="G23" s="6" t="inlineStr">
        <is>
          <t>In (A): 630</t>
        </is>
      </c>
      <c r="H23" s="6" t="inlineStr">
        <is>
          <t>Withstand: 21kA 3s</t>
        </is>
      </c>
      <c r="I23" s="6" t="inlineStr">
        <is>
          <t>Extensibility: Non-Extensible</t>
        </is>
      </c>
      <c r="J23" s="6" t="inlineStr">
        <is>
          <t>Ingress: IP41 (Indoor)</t>
        </is>
      </c>
      <c r="K23" s="6" t="inlineStr">
        <is>
          <t>Complete Assembly</t>
        </is>
      </c>
      <c r="L23" s="6" t="inlineStr">
        <is>
          <t>Configured to Order</t>
        </is>
      </c>
      <c r="M23" s="6" t="inlineStr">
        <is>
          <t>AGP-NE-LLLV-24kV-IP41</t>
        </is>
      </c>
      <c r="N23" s="7" t="n"/>
      <c r="O23" s="8" t="inlineStr">
        <is>
          <t>Upon request</t>
        </is>
      </c>
      <c r="P23" s="8">
        <f>IF(ISNUMBER(O23),O23*(1-N23),O23)</f>
        <v/>
      </c>
      <c r="Q23" s="6" t="inlineStr">
        <is>
          <t>Aegis Plus</t>
        </is>
      </c>
      <c r="R23" s="6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3" s="6" t="inlineStr">
        <is>
          <t>Secondary Distribution / Compact Substations</t>
        </is>
      </c>
      <c r="T23" s="5" t="n">
        <v>1</v>
      </c>
      <c r="U23" s="6" t="inlineStr">
        <is>
          <t>Factory assembled, SF6 insulated, robotic welded tank; 30+ year service life</t>
        </is>
      </c>
      <c r="V23" s="5" t="n">
        <v>10</v>
      </c>
    </row>
    <row r="24" ht="20" customHeight="1">
      <c r="A24" s="9" t="n">
        <v>20</v>
      </c>
      <c r="B24" s="10" t="inlineStr">
        <is>
          <t>Lucy Electric</t>
        </is>
      </c>
      <c r="C24" s="10" t="inlineStr">
        <is>
          <t>Ring Main Unit (RMU)</t>
        </is>
      </c>
      <c r="D24" s="10" t="inlineStr">
        <is>
          <t>4-Function Ring Main Unit (3x 630A Load Break Switches + 1x 630A Auto-Reclose VCB)</t>
        </is>
      </c>
      <c r="E24" s="10" t="inlineStr">
        <is>
          <t>Aegis Plus LLLC 12kV IP41</t>
        </is>
      </c>
      <c r="F24" s="10" t="inlineStr">
        <is>
          <t>Voltage: 12kV</t>
        </is>
      </c>
      <c r="G24" s="10" t="inlineStr">
        <is>
          <t>In (A): 630</t>
        </is>
      </c>
      <c r="H24" s="10" t="inlineStr">
        <is>
          <t>Withstand: 21kA 3s</t>
        </is>
      </c>
      <c r="I24" s="10" t="inlineStr">
        <is>
          <t>Extensibility: Non-Extensible</t>
        </is>
      </c>
      <c r="J24" s="10" t="inlineStr">
        <is>
          <t>Ingress: IP41 (Indoor)</t>
        </is>
      </c>
      <c r="K24" s="10" t="inlineStr">
        <is>
          <t>Complete Assembly</t>
        </is>
      </c>
      <c r="L24" s="10" t="inlineStr">
        <is>
          <t>Configured to Order</t>
        </is>
      </c>
      <c r="M24" s="10" t="inlineStr">
        <is>
          <t>AGP-NE-LLLC-12kV-IP41</t>
        </is>
      </c>
      <c r="N24" s="11" t="n"/>
      <c r="O24" s="12" t="inlineStr">
        <is>
          <t>Upon request</t>
        </is>
      </c>
      <c r="P24" s="12">
        <f>IF(ISNUMBER(O24),O24*(1-N24),O24)</f>
        <v/>
      </c>
      <c r="Q24" s="10" t="inlineStr">
        <is>
          <t>Aegis Plus</t>
        </is>
      </c>
      <c r="R24" s="10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4" s="10" t="inlineStr">
        <is>
          <t>Secondary Distribution / Compact Substations</t>
        </is>
      </c>
      <c r="T24" s="9" t="n">
        <v>1</v>
      </c>
      <c r="U24" s="10" t="inlineStr">
        <is>
          <t>Factory assembled, SF6 insulated, robotic welded tank; 30+ year service life</t>
        </is>
      </c>
      <c r="V24" s="9" t="n">
        <v>10</v>
      </c>
    </row>
    <row r="25" ht="20" customHeight="1">
      <c r="A25" s="5" t="n">
        <v>21</v>
      </c>
      <c r="B25" s="6" t="inlineStr">
        <is>
          <t>Lucy Electric</t>
        </is>
      </c>
      <c r="C25" s="6" t="inlineStr">
        <is>
          <t>Ring Main Unit (RMU)</t>
        </is>
      </c>
      <c r="D25" s="6" t="inlineStr">
        <is>
          <t>4-Function Ring Main Unit (3x 630A Load Break Switches + 1x 630A Auto-Reclose VCB)</t>
        </is>
      </c>
      <c r="E25" s="6" t="inlineStr">
        <is>
          <t>Aegis Plus LLLC 24kV IP41</t>
        </is>
      </c>
      <c r="F25" s="6" t="inlineStr">
        <is>
          <t>Voltage: 24kV</t>
        </is>
      </c>
      <c r="G25" s="6" t="inlineStr">
        <is>
          <t>In (A): 630</t>
        </is>
      </c>
      <c r="H25" s="6" t="inlineStr">
        <is>
          <t>Withstand: 21kA 3s</t>
        </is>
      </c>
      <c r="I25" s="6" t="inlineStr">
        <is>
          <t>Extensibility: Non-Extensible</t>
        </is>
      </c>
      <c r="J25" s="6" t="inlineStr">
        <is>
          <t>Ingress: IP41 (Indoor)</t>
        </is>
      </c>
      <c r="K25" s="6" t="inlineStr">
        <is>
          <t>Complete Assembly</t>
        </is>
      </c>
      <c r="L25" s="6" t="inlineStr">
        <is>
          <t>Configured to Order</t>
        </is>
      </c>
      <c r="M25" s="6" t="inlineStr">
        <is>
          <t>AGP-NE-LLLC-24kV-IP41</t>
        </is>
      </c>
      <c r="N25" s="7" t="n"/>
      <c r="O25" s="8" t="inlineStr">
        <is>
          <t>Upon request</t>
        </is>
      </c>
      <c r="P25" s="8">
        <f>IF(ISNUMBER(O25),O25*(1-N25),O25)</f>
        <v/>
      </c>
      <c r="Q25" s="6" t="inlineStr">
        <is>
          <t>Aegis Plus</t>
        </is>
      </c>
      <c r="R25" s="6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5" s="6" t="inlineStr">
        <is>
          <t>Secondary Distribution / Compact Substations</t>
        </is>
      </c>
      <c r="T25" s="5" t="n">
        <v>1</v>
      </c>
      <c r="U25" s="6" t="inlineStr">
        <is>
          <t>Factory assembled, SF6 insulated, robotic welded tank; 30+ year service life</t>
        </is>
      </c>
      <c r="V25" s="5" t="n">
        <v>10</v>
      </c>
    </row>
    <row r="26" ht="20" customHeight="1">
      <c r="A26" s="9" t="n">
        <v>22</v>
      </c>
      <c r="B26" s="10" t="inlineStr">
        <is>
          <t>Lucy Electric</t>
        </is>
      </c>
      <c r="C26" s="10" t="inlineStr">
        <is>
          <t>Ring Main Unit (RMU)</t>
        </is>
      </c>
      <c r="D26" s="10" t="inlineStr">
        <is>
          <t>4-Function Ring Main Unit (2x 630A Load Break Switches + 2x 200A Switch Fuses)</t>
        </is>
      </c>
      <c r="E26" s="10" t="inlineStr">
        <is>
          <t>Aegis Plus LLFF 12kV IP41</t>
        </is>
      </c>
      <c r="F26" s="10" t="inlineStr">
        <is>
          <t>Voltage: 12kV</t>
        </is>
      </c>
      <c r="G26" s="10" t="inlineStr">
        <is>
          <t>In (A): 630</t>
        </is>
      </c>
      <c r="H26" s="10" t="inlineStr">
        <is>
          <t>Withstand: 21kA 3s</t>
        </is>
      </c>
      <c r="I26" s="10" t="inlineStr">
        <is>
          <t>Extensibility: Non-Extensible</t>
        </is>
      </c>
      <c r="J26" s="10" t="inlineStr">
        <is>
          <t>Ingress: IP41 (Indoor)</t>
        </is>
      </c>
      <c r="K26" s="10" t="inlineStr">
        <is>
          <t>Complete Assembly</t>
        </is>
      </c>
      <c r="L26" s="10" t="inlineStr">
        <is>
          <t>Configured to Order</t>
        </is>
      </c>
      <c r="M26" s="10" t="inlineStr">
        <is>
          <t>AGP-NE-LLFF-12kV-IP41</t>
        </is>
      </c>
      <c r="N26" s="11" t="n"/>
      <c r="O26" s="12" t="inlineStr">
        <is>
          <t>Upon request</t>
        </is>
      </c>
      <c r="P26" s="12">
        <f>IF(ISNUMBER(O26),O26*(1-N26),O26)</f>
        <v/>
      </c>
      <c r="Q26" s="10" t="inlineStr">
        <is>
          <t>Aegis Plus</t>
        </is>
      </c>
      <c r="R26" s="10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6" s="10" t="inlineStr">
        <is>
          <t>Secondary Distribution / Compact Substations</t>
        </is>
      </c>
      <c r="T26" s="9" t="n">
        <v>1</v>
      </c>
      <c r="U26" s="10" t="inlineStr">
        <is>
          <t>Factory assembled, SF6 insulated, robotic welded tank; 30+ year service life</t>
        </is>
      </c>
      <c r="V26" s="9" t="n">
        <v>10</v>
      </c>
    </row>
    <row r="27" ht="20" customHeight="1">
      <c r="A27" s="5" t="n">
        <v>23</v>
      </c>
      <c r="B27" s="6" t="inlineStr">
        <is>
          <t>Lucy Electric</t>
        </is>
      </c>
      <c r="C27" s="6" t="inlineStr">
        <is>
          <t>Ring Main Unit (RMU)</t>
        </is>
      </c>
      <c r="D27" s="6" t="inlineStr">
        <is>
          <t>4-Function Ring Main Unit (2x 630A Load Break Switches + 2x 200A Switch Fuses)</t>
        </is>
      </c>
      <c r="E27" s="6" t="inlineStr">
        <is>
          <t>Aegis Plus LLFF 24kV IP41</t>
        </is>
      </c>
      <c r="F27" s="6" t="inlineStr">
        <is>
          <t>Voltage: 24kV</t>
        </is>
      </c>
      <c r="G27" s="6" t="inlineStr">
        <is>
          <t>In (A): 630</t>
        </is>
      </c>
      <c r="H27" s="6" t="inlineStr">
        <is>
          <t>Withstand: 21kA 3s</t>
        </is>
      </c>
      <c r="I27" s="6" t="inlineStr">
        <is>
          <t>Extensibility: Non-Extensible</t>
        </is>
      </c>
      <c r="J27" s="6" t="inlineStr">
        <is>
          <t>Ingress: IP41 (Indoor)</t>
        </is>
      </c>
      <c r="K27" s="6" t="inlineStr">
        <is>
          <t>Complete Assembly</t>
        </is>
      </c>
      <c r="L27" s="6" t="inlineStr">
        <is>
          <t>Configured to Order</t>
        </is>
      </c>
      <c r="M27" s="6" t="inlineStr">
        <is>
          <t>AGP-NE-LLFF-24kV-IP41</t>
        </is>
      </c>
      <c r="N27" s="7" t="n"/>
      <c r="O27" s="8" t="inlineStr">
        <is>
          <t>Upon request</t>
        </is>
      </c>
      <c r="P27" s="8">
        <f>IF(ISNUMBER(O27),O27*(1-N27),O27)</f>
        <v/>
      </c>
      <c r="Q27" s="6" t="inlineStr">
        <is>
          <t>Aegis Plus</t>
        </is>
      </c>
      <c r="R27" s="6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7" s="6" t="inlineStr">
        <is>
          <t>Secondary Distribution / Compact Substations</t>
        </is>
      </c>
      <c r="T27" s="5" t="n">
        <v>1</v>
      </c>
      <c r="U27" s="6" t="inlineStr">
        <is>
          <t>Factory assembled, SF6 insulated, robotic welded tank; 30+ year service life</t>
        </is>
      </c>
      <c r="V27" s="5" t="n">
        <v>10</v>
      </c>
    </row>
    <row r="28" ht="20" customHeight="1">
      <c r="A28" s="9" t="n">
        <v>24</v>
      </c>
      <c r="B28" s="10" t="inlineStr">
        <is>
          <t>Lucy Electric</t>
        </is>
      </c>
      <c r="C28" s="10" t="inlineStr">
        <is>
          <t>Ring Main Unit (RMU)</t>
        </is>
      </c>
      <c r="D28" s="10" t="inlineStr">
        <is>
          <t>4-Function Ring Main Unit (2x 630A Load Break Switches + 2x 630A Vacuum Circuit Breakers)</t>
        </is>
      </c>
      <c r="E28" s="10" t="inlineStr">
        <is>
          <t>Aegis Plus LLVV 12kV IP41</t>
        </is>
      </c>
      <c r="F28" s="10" t="inlineStr">
        <is>
          <t>Voltage: 12kV</t>
        </is>
      </c>
      <c r="G28" s="10" t="inlineStr">
        <is>
          <t>In (A): 630</t>
        </is>
      </c>
      <c r="H28" s="10" t="inlineStr">
        <is>
          <t>Withstand: 21kA 3s</t>
        </is>
      </c>
      <c r="I28" s="10" t="inlineStr">
        <is>
          <t>Extensibility: Non-Extensible</t>
        </is>
      </c>
      <c r="J28" s="10" t="inlineStr">
        <is>
          <t>Ingress: IP41 (Indoor)</t>
        </is>
      </c>
      <c r="K28" s="10" t="inlineStr">
        <is>
          <t>Complete Assembly</t>
        </is>
      </c>
      <c r="L28" s="10" t="inlineStr">
        <is>
          <t>Configured to Order</t>
        </is>
      </c>
      <c r="M28" s="10" t="inlineStr">
        <is>
          <t>AGP-NE-LLVV-12kV-IP41</t>
        </is>
      </c>
      <c r="N28" s="11" t="n"/>
      <c r="O28" s="12" t="inlineStr">
        <is>
          <t>Upon request</t>
        </is>
      </c>
      <c r="P28" s="12">
        <f>IF(ISNUMBER(O28),O28*(1-N28),O28)</f>
        <v/>
      </c>
      <c r="Q28" s="10" t="inlineStr">
        <is>
          <t>Aegis Plus</t>
        </is>
      </c>
      <c r="R28" s="10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8" s="10" t="inlineStr">
        <is>
          <t>Secondary Distribution / Compact Substations</t>
        </is>
      </c>
      <c r="T28" s="9" t="n">
        <v>1</v>
      </c>
      <c r="U28" s="10" t="inlineStr">
        <is>
          <t>Factory assembled, SF6 insulated, robotic welded tank; 30+ year service life</t>
        </is>
      </c>
      <c r="V28" s="9" t="n">
        <v>10</v>
      </c>
    </row>
    <row r="29" ht="20" customHeight="1">
      <c r="A29" s="5" t="n">
        <v>25</v>
      </c>
      <c r="B29" s="6" t="inlineStr">
        <is>
          <t>Lucy Electric</t>
        </is>
      </c>
      <c r="C29" s="6" t="inlineStr">
        <is>
          <t>Ring Main Unit (RMU)</t>
        </is>
      </c>
      <c r="D29" s="6" t="inlineStr">
        <is>
          <t>4-Function Ring Main Unit (2x 630A Load Break Switches + 2x 630A Vacuum Circuit Breakers)</t>
        </is>
      </c>
      <c r="E29" s="6" t="inlineStr">
        <is>
          <t>Aegis Plus LLVV 24kV IP41</t>
        </is>
      </c>
      <c r="F29" s="6" t="inlineStr">
        <is>
          <t>Voltage: 24kV</t>
        </is>
      </c>
      <c r="G29" s="6" t="inlineStr">
        <is>
          <t>In (A): 630</t>
        </is>
      </c>
      <c r="H29" s="6" t="inlineStr">
        <is>
          <t>Withstand: 21kA 3s</t>
        </is>
      </c>
      <c r="I29" s="6" t="inlineStr">
        <is>
          <t>Extensibility: Non-Extensible</t>
        </is>
      </c>
      <c r="J29" s="6" t="inlineStr">
        <is>
          <t>Ingress: IP41 (Indoor)</t>
        </is>
      </c>
      <c r="K29" s="6" t="inlineStr">
        <is>
          <t>Complete Assembly</t>
        </is>
      </c>
      <c r="L29" s="6" t="inlineStr">
        <is>
          <t>Configured to Order</t>
        </is>
      </c>
      <c r="M29" s="6" t="inlineStr">
        <is>
          <t>AGP-NE-LLVV-24kV-IP41</t>
        </is>
      </c>
      <c r="N29" s="7" t="n"/>
      <c r="O29" s="8" t="inlineStr">
        <is>
          <t>Upon request</t>
        </is>
      </c>
      <c r="P29" s="8">
        <f>IF(ISNUMBER(O29),O29*(1-N29),O29)</f>
        <v/>
      </c>
      <c r="Q29" s="6" t="inlineStr">
        <is>
          <t>Aegis Plus</t>
        </is>
      </c>
      <c r="R29" s="6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29" s="6" t="inlineStr">
        <is>
          <t>Secondary Distribution / Compact Substations</t>
        </is>
      </c>
      <c r="T29" s="5" t="n">
        <v>1</v>
      </c>
      <c r="U29" s="6" t="inlineStr">
        <is>
          <t>Factory assembled, SF6 insulated, robotic welded tank; 30+ year service life</t>
        </is>
      </c>
      <c r="V29" s="5" t="n">
        <v>10</v>
      </c>
    </row>
    <row r="30" ht="20" customHeight="1">
      <c r="A30" s="9" t="n">
        <v>26</v>
      </c>
      <c r="B30" s="10" t="inlineStr">
        <is>
          <t>Lucy Electric</t>
        </is>
      </c>
      <c r="C30" s="10" t="inlineStr">
        <is>
          <t>Ring Main Unit (RMU)</t>
        </is>
      </c>
      <c r="D30" s="10" t="inlineStr">
        <is>
          <t>5-Function Ring Main Unit (4x 630A Load Break Switches + 1x 200A Switch Fuse)</t>
        </is>
      </c>
      <c r="E30" s="10" t="inlineStr">
        <is>
          <t>Aegis Plus LLLLF 12kV IP41</t>
        </is>
      </c>
      <c r="F30" s="10" t="inlineStr">
        <is>
          <t>Voltage: 12kV</t>
        </is>
      </c>
      <c r="G30" s="10" t="inlineStr">
        <is>
          <t>In (A): 630</t>
        </is>
      </c>
      <c r="H30" s="10" t="inlineStr">
        <is>
          <t>Withstand: 21kA 3s</t>
        </is>
      </c>
      <c r="I30" s="10" t="inlineStr">
        <is>
          <t>Extensibility: Non-Extensible</t>
        </is>
      </c>
      <c r="J30" s="10" t="inlineStr">
        <is>
          <t>Ingress: IP41 (Indoor)</t>
        </is>
      </c>
      <c r="K30" s="10" t="inlineStr">
        <is>
          <t>Complete Assembly</t>
        </is>
      </c>
      <c r="L30" s="10" t="inlineStr">
        <is>
          <t>Configured to Order</t>
        </is>
      </c>
      <c r="M30" s="10" t="inlineStr">
        <is>
          <t>AGP-NE-LLLLF-12kV-IP41</t>
        </is>
      </c>
      <c r="N30" s="11" t="n"/>
      <c r="O30" s="12" t="inlineStr">
        <is>
          <t>Upon request</t>
        </is>
      </c>
      <c r="P30" s="12">
        <f>IF(ISNUMBER(O30),O30*(1-N30),O30)</f>
        <v/>
      </c>
      <c r="Q30" s="10" t="inlineStr">
        <is>
          <t>Aegis Plus</t>
        </is>
      </c>
      <c r="R30" s="10" t="inlineStr">
        <is>
          <t>Dimensions: 1735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30" s="10" t="inlineStr">
        <is>
          <t>Secondary Distribution / Compact Substations</t>
        </is>
      </c>
      <c r="T30" s="9" t="n">
        <v>1</v>
      </c>
      <c r="U30" s="10" t="inlineStr">
        <is>
          <t>Factory assembled, SF6 insulated, robotic welded tank; 30+ year service life</t>
        </is>
      </c>
      <c r="V30" s="9" t="n">
        <v>10</v>
      </c>
    </row>
    <row r="31" ht="20" customHeight="1">
      <c r="A31" s="5" t="n">
        <v>27</v>
      </c>
      <c r="B31" s="6" t="inlineStr">
        <is>
          <t>Lucy Electric</t>
        </is>
      </c>
      <c r="C31" s="6" t="inlineStr">
        <is>
          <t>Ring Main Unit (RMU)</t>
        </is>
      </c>
      <c r="D31" s="6" t="inlineStr">
        <is>
          <t>5-Function Ring Main Unit (4x 630A Load Break Switches + 1x 200A Switch Fuse)</t>
        </is>
      </c>
      <c r="E31" s="6" t="inlineStr">
        <is>
          <t>Aegis Plus LLLLF 24kV IP41</t>
        </is>
      </c>
      <c r="F31" s="6" t="inlineStr">
        <is>
          <t>Voltage: 24kV</t>
        </is>
      </c>
      <c r="G31" s="6" t="inlineStr">
        <is>
          <t>In (A): 630</t>
        </is>
      </c>
      <c r="H31" s="6" t="inlineStr">
        <is>
          <t>Withstand: 21kA 3s</t>
        </is>
      </c>
      <c r="I31" s="6" t="inlineStr">
        <is>
          <t>Extensibility: Non-Extensible</t>
        </is>
      </c>
      <c r="J31" s="6" t="inlineStr">
        <is>
          <t>Ingress: IP41 (Indoor)</t>
        </is>
      </c>
      <c r="K31" s="6" t="inlineStr">
        <is>
          <t>Complete Assembly</t>
        </is>
      </c>
      <c r="L31" s="6" t="inlineStr">
        <is>
          <t>Configured to Order</t>
        </is>
      </c>
      <c r="M31" s="6" t="inlineStr">
        <is>
          <t>AGP-NE-LLLLF-24kV-IP41</t>
        </is>
      </c>
      <c r="N31" s="7" t="n"/>
      <c r="O31" s="8" t="inlineStr">
        <is>
          <t>Upon request</t>
        </is>
      </c>
      <c r="P31" s="8">
        <f>IF(ISNUMBER(O31),O31*(1-N31),O31)</f>
        <v/>
      </c>
      <c r="Q31" s="6" t="inlineStr">
        <is>
          <t>Aegis Plus</t>
        </is>
      </c>
      <c r="R31" s="6" t="inlineStr">
        <is>
          <t>Dimensions: 1735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31" s="6" t="inlineStr">
        <is>
          <t>Secondary Distribution / Compact Substations</t>
        </is>
      </c>
      <c r="T31" s="5" t="n">
        <v>1</v>
      </c>
      <c r="U31" s="6" t="inlineStr">
        <is>
          <t>Factory assembled, SF6 insulated, robotic welded tank; 30+ year service life</t>
        </is>
      </c>
      <c r="V31" s="5" t="n">
        <v>10</v>
      </c>
    </row>
    <row r="32" ht="20" customHeight="1">
      <c r="A32" s="9" t="n">
        <v>28</v>
      </c>
      <c r="B32" s="10" t="inlineStr">
        <is>
          <t>Lucy Electric</t>
        </is>
      </c>
      <c r="C32" s="10" t="inlineStr">
        <is>
          <t>Ring Main Unit (RMU)</t>
        </is>
      </c>
      <c r="D32" s="10" t="inlineStr">
        <is>
          <t>5-Function Ring Main Unit (4x 630A Load Break Switches + 1x 630A Vacuum Circuit Breaker)</t>
        </is>
      </c>
      <c r="E32" s="10" t="inlineStr">
        <is>
          <t>Aegis Plus LLLLV 12kV IP41</t>
        </is>
      </c>
      <c r="F32" s="10" t="inlineStr">
        <is>
          <t>Voltage: 12kV</t>
        </is>
      </c>
      <c r="G32" s="10" t="inlineStr">
        <is>
          <t>In (A): 630</t>
        </is>
      </c>
      <c r="H32" s="10" t="inlineStr">
        <is>
          <t>Withstand: 21kA 3s</t>
        </is>
      </c>
      <c r="I32" s="10" t="inlineStr">
        <is>
          <t>Extensibility: Non-Extensible</t>
        </is>
      </c>
      <c r="J32" s="10" t="inlineStr">
        <is>
          <t>Ingress: IP41 (Indoor)</t>
        </is>
      </c>
      <c r="K32" s="10" t="inlineStr">
        <is>
          <t>Complete Assembly</t>
        </is>
      </c>
      <c r="L32" s="10" t="inlineStr">
        <is>
          <t>Configured to Order</t>
        </is>
      </c>
      <c r="M32" s="10" t="inlineStr">
        <is>
          <t>AGP-NE-LLLLV-12kV-IP41</t>
        </is>
      </c>
      <c r="N32" s="11" t="n"/>
      <c r="O32" s="12" t="inlineStr">
        <is>
          <t>Upon request</t>
        </is>
      </c>
      <c r="P32" s="12">
        <f>IF(ISNUMBER(O32),O32*(1-N32),O32)</f>
        <v/>
      </c>
      <c r="Q32" s="10" t="inlineStr">
        <is>
          <t>Aegis Plus</t>
        </is>
      </c>
      <c r="R32" s="10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32" s="10" t="inlineStr">
        <is>
          <t>Secondary Distribution / Compact Substations</t>
        </is>
      </c>
      <c r="T32" s="9" t="n">
        <v>1</v>
      </c>
      <c r="U32" s="10" t="inlineStr">
        <is>
          <t>Factory assembled, SF6 insulated, robotic welded tank; 30+ year service life</t>
        </is>
      </c>
      <c r="V32" s="9" t="n">
        <v>10</v>
      </c>
    </row>
    <row r="33" ht="20" customHeight="1">
      <c r="A33" s="5" t="n">
        <v>29</v>
      </c>
      <c r="B33" s="6" t="inlineStr">
        <is>
          <t>Lucy Electric</t>
        </is>
      </c>
      <c r="C33" s="6" t="inlineStr">
        <is>
          <t>Ring Main Unit (RMU)</t>
        </is>
      </c>
      <c r="D33" s="6" t="inlineStr">
        <is>
          <t>5-Function Ring Main Unit (4x 630A Load Break Switches + 1x 630A Vacuum Circuit Breaker)</t>
        </is>
      </c>
      <c r="E33" s="6" t="inlineStr">
        <is>
          <t>Aegis Plus LLLLV 24kV IP41</t>
        </is>
      </c>
      <c r="F33" s="6" t="inlineStr">
        <is>
          <t>Voltage: 24kV</t>
        </is>
      </c>
      <c r="G33" s="6" t="inlineStr">
        <is>
          <t>In (A): 630</t>
        </is>
      </c>
      <c r="H33" s="6" t="inlineStr">
        <is>
          <t>Withstand: 21kA 3s</t>
        </is>
      </c>
      <c r="I33" s="6" t="inlineStr">
        <is>
          <t>Extensibility: Non-Extensible</t>
        </is>
      </c>
      <c r="J33" s="6" t="inlineStr">
        <is>
          <t>Ingress: IP41 (Indoor)</t>
        </is>
      </c>
      <c r="K33" s="6" t="inlineStr">
        <is>
          <t>Complete Assembly</t>
        </is>
      </c>
      <c r="L33" s="6" t="inlineStr">
        <is>
          <t>Configured to Order</t>
        </is>
      </c>
      <c r="M33" s="6" t="inlineStr">
        <is>
          <t>AGP-NE-LLLLV-24kV-IP41</t>
        </is>
      </c>
      <c r="N33" s="7" t="n"/>
      <c r="O33" s="8" t="inlineStr">
        <is>
          <t>Upon request</t>
        </is>
      </c>
      <c r="P33" s="8">
        <f>IF(ISNUMBER(O33),O33*(1-N33),O33)</f>
        <v/>
      </c>
      <c r="Q33" s="6" t="inlineStr">
        <is>
          <t>Aegis Plus</t>
        </is>
      </c>
      <c r="R33" s="6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33" s="6" t="inlineStr">
        <is>
          <t>Secondary Distribution / Compact Substations</t>
        </is>
      </c>
      <c r="T33" s="5" t="n">
        <v>1</v>
      </c>
      <c r="U33" s="6" t="inlineStr">
        <is>
          <t>Factory assembled, SF6 insulated, robotic welded tank; 30+ year service life</t>
        </is>
      </c>
      <c r="V33" s="5" t="n">
        <v>10</v>
      </c>
    </row>
    <row r="34" ht="20" customHeight="1">
      <c r="A34" s="9" t="n">
        <v>30</v>
      </c>
      <c r="B34" s="10" t="inlineStr">
        <is>
          <t>Lucy Electric</t>
        </is>
      </c>
      <c r="C34" s="10" t="inlineStr">
        <is>
          <t>Ring Main Unit (RMU)</t>
        </is>
      </c>
      <c r="D34" s="10" t="inlineStr">
        <is>
          <t>5-Function Ring Main Unit (4x 630A Load Break Switches + 1x 630A Auto-Reclose VCB)</t>
        </is>
      </c>
      <c r="E34" s="10" t="inlineStr">
        <is>
          <t>Aegis Plus LLLLC 12kV IP41</t>
        </is>
      </c>
      <c r="F34" s="10" t="inlineStr">
        <is>
          <t>Voltage: 12kV</t>
        </is>
      </c>
      <c r="G34" s="10" t="inlineStr">
        <is>
          <t>In (A): 630</t>
        </is>
      </c>
      <c r="H34" s="10" t="inlineStr">
        <is>
          <t>Withstand: 21kA 3s</t>
        </is>
      </c>
      <c r="I34" s="10" t="inlineStr">
        <is>
          <t>Extensibility: Non-Extensible</t>
        </is>
      </c>
      <c r="J34" s="10" t="inlineStr">
        <is>
          <t>Ingress: IP41 (Indoor)</t>
        </is>
      </c>
      <c r="K34" s="10" t="inlineStr">
        <is>
          <t>Complete Assembly</t>
        </is>
      </c>
      <c r="L34" s="10" t="inlineStr">
        <is>
          <t>Configured to Order</t>
        </is>
      </c>
      <c r="M34" s="10" t="inlineStr">
        <is>
          <t>AGP-NE-LLLLC-12kV-IP41</t>
        </is>
      </c>
      <c r="N34" s="11" t="n"/>
      <c r="O34" s="12" t="inlineStr">
        <is>
          <t>Upon request</t>
        </is>
      </c>
      <c r="P34" s="12">
        <f>IF(ISNUMBER(O34),O34*(1-N34),O34)</f>
        <v/>
      </c>
      <c r="Q34" s="10" t="inlineStr">
        <is>
          <t>Aegis Plus</t>
        </is>
      </c>
      <c r="R34" s="10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34" s="10" t="inlineStr">
        <is>
          <t>Secondary Distribution / Compact Substations</t>
        </is>
      </c>
      <c r="T34" s="9" t="n">
        <v>1</v>
      </c>
      <c r="U34" s="10" t="inlineStr">
        <is>
          <t>Factory assembled, SF6 insulated, robotic welded tank; 30+ year service life</t>
        </is>
      </c>
      <c r="V34" s="9" t="n">
        <v>10</v>
      </c>
    </row>
    <row r="35" ht="20" customHeight="1">
      <c r="A35" s="5" t="n">
        <v>31</v>
      </c>
      <c r="B35" s="6" t="inlineStr">
        <is>
          <t>Lucy Electric</t>
        </is>
      </c>
      <c r="C35" s="6" t="inlineStr">
        <is>
          <t>Ring Main Unit (RMU)</t>
        </is>
      </c>
      <c r="D35" s="6" t="inlineStr">
        <is>
          <t>5-Function Ring Main Unit (4x 630A Load Break Switches + 1x 630A Auto-Reclose VCB)</t>
        </is>
      </c>
      <c r="E35" s="6" t="inlineStr">
        <is>
          <t>Aegis Plus LLLLC 24kV IP41</t>
        </is>
      </c>
      <c r="F35" s="6" t="inlineStr">
        <is>
          <t>Voltage: 24kV</t>
        </is>
      </c>
      <c r="G35" s="6" t="inlineStr">
        <is>
          <t>In (A): 630</t>
        </is>
      </c>
      <c r="H35" s="6" t="inlineStr">
        <is>
          <t>Withstand: 21kA 3s</t>
        </is>
      </c>
      <c r="I35" s="6" t="inlineStr">
        <is>
          <t>Extensibility: Non-Extensible</t>
        </is>
      </c>
      <c r="J35" s="6" t="inlineStr">
        <is>
          <t>Ingress: IP41 (Indoor)</t>
        </is>
      </c>
      <c r="K35" s="6" t="inlineStr">
        <is>
          <t>Complete Assembly</t>
        </is>
      </c>
      <c r="L35" s="6" t="inlineStr">
        <is>
          <t>Configured to Order</t>
        </is>
      </c>
      <c r="M35" s="6" t="inlineStr">
        <is>
          <t>AGP-NE-LLLLC-24kV-IP41</t>
        </is>
      </c>
      <c r="N35" s="7" t="n"/>
      <c r="O35" s="8" t="inlineStr">
        <is>
          <t>Upon request</t>
        </is>
      </c>
      <c r="P35" s="8">
        <f>IF(ISNUMBER(O35),O35*(1-N35),O35)</f>
        <v/>
      </c>
      <c r="Q35" s="6" t="inlineStr">
        <is>
          <t>Aegis Plus</t>
        </is>
      </c>
      <c r="R35" s="6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S35" s="6" t="inlineStr">
        <is>
          <t>Secondary Distribution / Compact Substations</t>
        </is>
      </c>
      <c r="T35" s="5" t="n">
        <v>1</v>
      </c>
      <c r="U35" s="6" t="inlineStr">
        <is>
          <t>Factory assembled, SF6 insulated, robotic welded tank; 30+ year service life</t>
        </is>
      </c>
      <c r="V35" s="5" t="n">
        <v>10</v>
      </c>
    </row>
    <row r="36" ht="20" customHeight="1">
      <c r="A36" s="9" t="n">
        <v>32</v>
      </c>
      <c r="B36" s="10" t="inlineStr">
        <is>
          <t>Lucy Electric</t>
        </is>
      </c>
      <c r="C36" s="10" t="inlineStr">
        <is>
          <t>Extensible RMU Modules</t>
        </is>
      </c>
      <c r="D36" s="10" t="inlineStr">
        <is>
          <t>Extensible Single Switching Module - Load Break Switch (630A, 3-position ON/OFF/Earth)</t>
        </is>
      </c>
      <c r="E36" s="10" t="inlineStr">
        <is>
          <t>Aegis Plus Extensible L 12kV</t>
        </is>
      </c>
      <c r="F36" s="10" t="inlineStr">
        <is>
          <t>Voltage: 12kV</t>
        </is>
      </c>
      <c r="G36" s="10" t="inlineStr">
        <is>
          <t>In (A): 630</t>
        </is>
      </c>
      <c r="H36" s="10" t="inlineStr">
        <is>
          <t>Withstand: 21kA 3s</t>
        </is>
      </c>
      <c r="I36" s="10" t="inlineStr">
        <is>
          <t>Extensibility: Side/Top Extensible</t>
        </is>
      </c>
      <c r="J36" s="10" t="inlineStr">
        <is>
          <t>Ingress: IP41 / IP54</t>
        </is>
      </c>
      <c r="K36" s="10" t="inlineStr">
        <is>
          <t>Extensible Module</t>
        </is>
      </c>
      <c r="L36" s="10" t="inlineStr">
        <is>
          <t>Configured to Order</t>
        </is>
      </c>
      <c r="M36" s="10" t="inlineStr">
        <is>
          <t>AGP-EXT-L-12kV</t>
        </is>
      </c>
      <c r="N36" s="11" t="n"/>
      <c r="O36" s="12" t="inlineStr">
        <is>
          <t>Upon request</t>
        </is>
      </c>
      <c r="P36" s="12">
        <f>IF(ISNUMBER(O36),O36*(1-N36),O36)</f>
        <v/>
      </c>
      <c r="Q36" s="10" t="inlineStr">
        <is>
          <t>Aegis Plus</t>
        </is>
      </c>
      <c r="R36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36" s="10" t="inlineStr">
        <is>
          <t>Aegis Plus Switchboards &amp; Modular Expansions</t>
        </is>
      </c>
      <c r="T36" s="9" t="n">
        <v>1</v>
      </c>
      <c r="U36" s="10" t="inlineStr">
        <is>
          <t>On-site extension without gas handling or specialized tooling</t>
        </is>
      </c>
      <c r="V36" s="9" t="n">
        <v>15</v>
      </c>
    </row>
    <row r="37" ht="20" customHeight="1">
      <c r="A37" s="5" t="n">
        <v>33</v>
      </c>
      <c r="B37" s="6" t="inlineStr">
        <is>
          <t>Lucy Electric</t>
        </is>
      </c>
      <c r="C37" s="6" t="inlineStr">
        <is>
          <t>Extensible RMU Modules</t>
        </is>
      </c>
      <c r="D37" s="6" t="inlineStr">
        <is>
          <t>Extensible Single Switching Module - Load Break Switch (630A, 3-position ON/OFF/Earth)</t>
        </is>
      </c>
      <c r="E37" s="6" t="inlineStr">
        <is>
          <t>Aegis Plus Extensible L 24kV</t>
        </is>
      </c>
      <c r="F37" s="6" t="inlineStr">
        <is>
          <t>Voltage: 24kV</t>
        </is>
      </c>
      <c r="G37" s="6" t="inlineStr">
        <is>
          <t>In (A): 630</t>
        </is>
      </c>
      <c r="H37" s="6" t="inlineStr">
        <is>
          <t>Withstand: 21kA 3s</t>
        </is>
      </c>
      <c r="I37" s="6" t="inlineStr">
        <is>
          <t>Extensibility: Side/Top Extensible</t>
        </is>
      </c>
      <c r="J37" s="6" t="inlineStr">
        <is>
          <t>Ingress: IP41 / IP54</t>
        </is>
      </c>
      <c r="K37" s="6" t="inlineStr">
        <is>
          <t>Extensible Module</t>
        </is>
      </c>
      <c r="L37" s="6" t="inlineStr">
        <is>
          <t>Configured to Order</t>
        </is>
      </c>
      <c r="M37" s="6" t="inlineStr">
        <is>
          <t>AGP-EXT-L-24kV</t>
        </is>
      </c>
      <c r="N37" s="7" t="n"/>
      <c r="O37" s="8" t="inlineStr">
        <is>
          <t>Upon request</t>
        </is>
      </c>
      <c r="P37" s="8">
        <f>IF(ISNUMBER(O37),O37*(1-N37),O37)</f>
        <v/>
      </c>
      <c r="Q37" s="6" t="inlineStr">
        <is>
          <t>Aegis Plus</t>
        </is>
      </c>
      <c r="R37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37" s="6" t="inlineStr">
        <is>
          <t>Aegis Plus Switchboards &amp; Modular Expansions</t>
        </is>
      </c>
      <c r="T37" s="5" t="n">
        <v>1</v>
      </c>
      <c r="U37" s="6" t="inlineStr">
        <is>
          <t>On-site extension without gas handling or specialized tooling</t>
        </is>
      </c>
      <c r="V37" s="5" t="n">
        <v>15</v>
      </c>
    </row>
    <row r="38" ht="20" customHeight="1">
      <c r="A38" s="9" t="n">
        <v>34</v>
      </c>
      <c r="B38" s="10" t="inlineStr">
        <is>
          <t>Lucy Electric</t>
        </is>
      </c>
      <c r="C38" s="10" t="inlineStr">
        <is>
          <t>Extensible RMU Modules</t>
        </is>
      </c>
      <c r="D38" s="10" t="inlineStr">
        <is>
          <t>Extensible Single Protection Module - Vacuum Circuit Breaker (630A Non-auto reclose)</t>
        </is>
      </c>
      <c r="E38" s="10" t="inlineStr">
        <is>
          <t>Aegis Plus Extensible V 12kV</t>
        </is>
      </c>
      <c r="F38" s="10" t="inlineStr">
        <is>
          <t>Voltage: 12kV</t>
        </is>
      </c>
      <c r="G38" s="10" t="inlineStr">
        <is>
          <t>In (A): 630</t>
        </is>
      </c>
      <c r="H38" s="10" t="inlineStr">
        <is>
          <t>Withstand: 21kA 3s</t>
        </is>
      </c>
      <c r="I38" s="10" t="inlineStr">
        <is>
          <t>Extensibility: Side/Top Extensible</t>
        </is>
      </c>
      <c r="J38" s="10" t="inlineStr">
        <is>
          <t>Ingress: IP41 / IP54</t>
        </is>
      </c>
      <c r="K38" s="10" t="inlineStr">
        <is>
          <t>Extensible Module</t>
        </is>
      </c>
      <c r="L38" s="10" t="inlineStr">
        <is>
          <t>Configured to Order</t>
        </is>
      </c>
      <c r="M38" s="10" t="inlineStr">
        <is>
          <t>AGP-EXT-V-12kV</t>
        </is>
      </c>
      <c r="N38" s="11" t="n"/>
      <c r="O38" s="12" t="inlineStr">
        <is>
          <t>Upon request</t>
        </is>
      </c>
      <c r="P38" s="12">
        <f>IF(ISNUMBER(O38),O38*(1-N38),O38)</f>
        <v/>
      </c>
      <c r="Q38" s="10" t="inlineStr">
        <is>
          <t>Aegis Plus</t>
        </is>
      </c>
      <c r="R38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38" s="10" t="inlineStr">
        <is>
          <t>Aegis Plus Switchboards &amp; Modular Expansions</t>
        </is>
      </c>
      <c r="T38" s="9" t="n">
        <v>1</v>
      </c>
      <c r="U38" s="10" t="inlineStr">
        <is>
          <t>On-site extension without gas handling or specialized tooling</t>
        </is>
      </c>
      <c r="V38" s="9" t="n">
        <v>17</v>
      </c>
    </row>
    <row r="39" ht="20" customHeight="1">
      <c r="A39" s="5" t="n">
        <v>35</v>
      </c>
      <c r="B39" s="6" t="inlineStr">
        <is>
          <t>Lucy Electric</t>
        </is>
      </c>
      <c r="C39" s="6" t="inlineStr">
        <is>
          <t>Extensible RMU Modules</t>
        </is>
      </c>
      <c r="D39" s="6" t="inlineStr">
        <is>
          <t>Extensible Single Protection Module - Vacuum Circuit Breaker (630A Non-auto reclose)</t>
        </is>
      </c>
      <c r="E39" s="6" t="inlineStr">
        <is>
          <t>Aegis Plus Extensible V 24kV</t>
        </is>
      </c>
      <c r="F39" s="6" t="inlineStr">
        <is>
          <t>Voltage: 24kV</t>
        </is>
      </c>
      <c r="G39" s="6" t="inlineStr">
        <is>
          <t>In (A): 630</t>
        </is>
      </c>
      <c r="H39" s="6" t="inlineStr">
        <is>
          <t>Withstand: 21kA 3s</t>
        </is>
      </c>
      <c r="I39" s="6" t="inlineStr">
        <is>
          <t>Extensibility: Side/Top Extensible</t>
        </is>
      </c>
      <c r="J39" s="6" t="inlineStr">
        <is>
          <t>Ingress: IP41 / IP54</t>
        </is>
      </c>
      <c r="K39" s="6" t="inlineStr">
        <is>
          <t>Extensible Module</t>
        </is>
      </c>
      <c r="L39" s="6" t="inlineStr">
        <is>
          <t>Configured to Order</t>
        </is>
      </c>
      <c r="M39" s="6" t="inlineStr">
        <is>
          <t>AGP-EXT-V-24kV</t>
        </is>
      </c>
      <c r="N39" s="7" t="n"/>
      <c r="O39" s="8" t="inlineStr">
        <is>
          <t>Upon request</t>
        </is>
      </c>
      <c r="P39" s="8">
        <f>IF(ISNUMBER(O39),O39*(1-N39),O39)</f>
        <v/>
      </c>
      <c r="Q39" s="6" t="inlineStr">
        <is>
          <t>Aegis Plus</t>
        </is>
      </c>
      <c r="R39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39" s="6" t="inlineStr">
        <is>
          <t>Aegis Plus Switchboards &amp; Modular Expansions</t>
        </is>
      </c>
      <c r="T39" s="5" t="n">
        <v>1</v>
      </c>
      <c r="U39" s="6" t="inlineStr">
        <is>
          <t>On-site extension without gas handling or specialized tooling</t>
        </is>
      </c>
      <c r="V39" s="5" t="n">
        <v>17</v>
      </c>
    </row>
    <row r="40" ht="20" customHeight="1">
      <c r="A40" s="9" t="n">
        <v>36</v>
      </c>
      <c r="B40" s="10" t="inlineStr">
        <is>
          <t>Lucy Electric</t>
        </is>
      </c>
      <c r="C40" s="10" t="inlineStr">
        <is>
          <t>Extensible RMU Modules</t>
        </is>
      </c>
      <c r="D40" s="10" t="inlineStr">
        <is>
          <t>Extensible Single Protection Module - Vacuum Circuit Breaker (200A/250A Transformer Protection)</t>
        </is>
      </c>
      <c r="E40" s="10" t="inlineStr">
        <is>
          <t>Aegis Plus Extensible T 12kV</t>
        </is>
      </c>
      <c r="F40" s="10" t="inlineStr">
        <is>
          <t>Voltage: 12kV</t>
        </is>
      </c>
      <c r="G40" s="10" t="inlineStr">
        <is>
          <t>In (A): 250</t>
        </is>
      </c>
      <c r="H40" s="10" t="inlineStr">
        <is>
          <t>Withstand: 21kA 3s</t>
        </is>
      </c>
      <c r="I40" s="10" t="inlineStr">
        <is>
          <t>Extensibility: Side/Top Extensible</t>
        </is>
      </c>
      <c r="J40" s="10" t="inlineStr">
        <is>
          <t>Ingress: IP41 / IP54</t>
        </is>
      </c>
      <c r="K40" s="10" t="inlineStr">
        <is>
          <t>Extensible Module</t>
        </is>
      </c>
      <c r="L40" s="10" t="inlineStr">
        <is>
          <t>Configured to Order</t>
        </is>
      </c>
      <c r="M40" s="10" t="inlineStr">
        <is>
          <t>AGP-EXT-T-12kV</t>
        </is>
      </c>
      <c r="N40" s="11" t="n"/>
      <c r="O40" s="12" t="inlineStr">
        <is>
          <t>Upon request</t>
        </is>
      </c>
      <c r="P40" s="12">
        <f>IF(ISNUMBER(O40),O40*(1-N40),O40)</f>
        <v/>
      </c>
      <c r="Q40" s="10" t="inlineStr">
        <is>
          <t>Aegis Plus</t>
        </is>
      </c>
      <c r="R40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0" s="10" t="inlineStr">
        <is>
          <t>Aegis Plus Switchboards &amp; Modular Expansions</t>
        </is>
      </c>
      <c r="T40" s="9" t="n">
        <v>1</v>
      </c>
      <c r="U40" s="10" t="inlineStr">
        <is>
          <t>On-site extension without gas handling or specialized tooling</t>
        </is>
      </c>
      <c r="V40" s="9" t="n">
        <v>17</v>
      </c>
    </row>
    <row r="41" ht="20" customHeight="1">
      <c r="A41" s="5" t="n">
        <v>37</v>
      </c>
      <c r="B41" s="6" t="inlineStr">
        <is>
          <t>Lucy Electric</t>
        </is>
      </c>
      <c r="C41" s="6" t="inlineStr">
        <is>
          <t>Extensible RMU Modules</t>
        </is>
      </c>
      <c r="D41" s="6" t="inlineStr">
        <is>
          <t>Extensible Single Protection Module - Vacuum Circuit Breaker (200A/250A Transformer Protection)</t>
        </is>
      </c>
      <c r="E41" s="6" t="inlineStr">
        <is>
          <t>Aegis Plus Extensible T 24kV</t>
        </is>
      </c>
      <c r="F41" s="6" t="inlineStr">
        <is>
          <t>Voltage: 24kV</t>
        </is>
      </c>
      <c r="G41" s="6" t="inlineStr">
        <is>
          <t>In (A): 250</t>
        </is>
      </c>
      <c r="H41" s="6" t="inlineStr">
        <is>
          <t>Withstand: 21kA 3s</t>
        </is>
      </c>
      <c r="I41" s="6" t="inlineStr">
        <is>
          <t>Extensibility: Side/Top Extensible</t>
        </is>
      </c>
      <c r="J41" s="6" t="inlineStr">
        <is>
          <t>Ingress: IP41 / IP54</t>
        </is>
      </c>
      <c r="K41" s="6" t="inlineStr">
        <is>
          <t>Extensible Module</t>
        </is>
      </c>
      <c r="L41" s="6" t="inlineStr">
        <is>
          <t>Configured to Order</t>
        </is>
      </c>
      <c r="M41" s="6" t="inlineStr">
        <is>
          <t>AGP-EXT-T-24kV</t>
        </is>
      </c>
      <c r="N41" s="7" t="n"/>
      <c r="O41" s="8" t="inlineStr">
        <is>
          <t>Upon request</t>
        </is>
      </c>
      <c r="P41" s="8">
        <f>IF(ISNUMBER(O41),O41*(1-N41),O41)</f>
        <v/>
      </c>
      <c r="Q41" s="6" t="inlineStr">
        <is>
          <t>Aegis Plus</t>
        </is>
      </c>
      <c r="R41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1" s="6" t="inlineStr">
        <is>
          <t>Aegis Plus Switchboards &amp; Modular Expansions</t>
        </is>
      </c>
      <c r="T41" s="5" t="n">
        <v>1</v>
      </c>
      <c r="U41" s="6" t="inlineStr">
        <is>
          <t>On-site extension without gas handling or specialized tooling</t>
        </is>
      </c>
      <c r="V41" s="5" t="n">
        <v>17</v>
      </c>
    </row>
    <row r="42" ht="20" customHeight="1">
      <c r="A42" s="9" t="n">
        <v>38</v>
      </c>
      <c r="B42" s="10" t="inlineStr">
        <is>
          <t>Lucy Electric</t>
        </is>
      </c>
      <c r="C42" s="10" t="inlineStr">
        <is>
          <t>Extensible RMU Modules</t>
        </is>
      </c>
      <c r="D42" s="10" t="inlineStr">
        <is>
          <t>Extensible Single Protection Module - Vacuum Circuit Breaker (630A Auto Reclose Mechanism)</t>
        </is>
      </c>
      <c r="E42" s="10" t="inlineStr">
        <is>
          <t>Aegis Plus Extensible C 12kV</t>
        </is>
      </c>
      <c r="F42" s="10" t="inlineStr">
        <is>
          <t>Voltage: 12kV</t>
        </is>
      </c>
      <c r="G42" s="10" t="inlineStr">
        <is>
          <t>In (A): 630</t>
        </is>
      </c>
      <c r="H42" s="10" t="inlineStr">
        <is>
          <t>Withstand: 21kA 3s</t>
        </is>
      </c>
      <c r="I42" s="10" t="inlineStr">
        <is>
          <t>Extensibility: Side/Top Extensible</t>
        </is>
      </c>
      <c r="J42" s="10" t="inlineStr">
        <is>
          <t>Ingress: IP41 / IP54</t>
        </is>
      </c>
      <c r="K42" s="10" t="inlineStr">
        <is>
          <t>Extensible Module</t>
        </is>
      </c>
      <c r="L42" s="10" t="inlineStr">
        <is>
          <t>Configured to Order</t>
        </is>
      </c>
      <c r="M42" s="10" t="inlineStr">
        <is>
          <t>AGP-EXT-C-12kV</t>
        </is>
      </c>
      <c r="N42" s="11" t="n"/>
      <c r="O42" s="12" t="inlineStr">
        <is>
          <t>Upon request</t>
        </is>
      </c>
      <c r="P42" s="12">
        <f>IF(ISNUMBER(O42),O42*(1-N42),O42)</f>
        <v/>
      </c>
      <c r="Q42" s="10" t="inlineStr">
        <is>
          <t>Aegis Plus</t>
        </is>
      </c>
      <c r="R42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2" s="10" t="inlineStr">
        <is>
          <t>Aegis Plus Switchboards &amp; Modular Expansions</t>
        </is>
      </c>
      <c r="T42" s="9" t="n">
        <v>1</v>
      </c>
      <c r="U42" s="10" t="inlineStr">
        <is>
          <t>On-site extension without gas handling or specialized tooling</t>
        </is>
      </c>
      <c r="V42" s="9" t="n">
        <v>17</v>
      </c>
    </row>
    <row r="43" ht="20" customHeight="1">
      <c r="A43" s="5" t="n">
        <v>39</v>
      </c>
      <c r="B43" s="6" t="inlineStr">
        <is>
          <t>Lucy Electric</t>
        </is>
      </c>
      <c r="C43" s="6" t="inlineStr">
        <is>
          <t>Extensible RMU Modules</t>
        </is>
      </c>
      <c r="D43" s="6" t="inlineStr">
        <is>
          <t>Extensible Single Protection Module - Vacuum Circuit Breaker (630A Auto Reclose Mechanism)</t>
        </is>
      </c>
      <c r="E43" s="6" t="inlineStr">
        <is>
          <t>Aegis Plus Extensible C 24kV</t>
        </is>
      </c>
      <c r="F43" s="6" t="inlineStr">
        <is>
          <t>Voltage: 24kV</t>
        </is>
      </c>
      <c r="G43" s="6" t="inlineStr">
        <is>
          <t>In (A): 630</t>
        </is>
      </c>
      <c r="H43" s="6" t="inlineStr">
        <is>
          <t>Withstand: 21kA 3s</t>
        </is>
      </c>
      <c r="I43" s="6" t="inlineStr">
        <is>
          <t>Extensibility: Side/Top Extensible</t>
        </is>
      </c>
      <c r="J43" s="6" t="inlineStr">
        <is>
          <t>Ingress: IP41 / IP54</t>
        </is>
      </c>
      <c r="K43" s="6" t="inlineStr">
        <is>
          <t>Extensible Module</t>
        </is>
      </c>
      <c r="L43" s="6" t="inlineStr">
        <is>
          <t>Configured to Order</t>
        </is>
      </c>
      <c r="M43" s="6" t="inlineStr">
        <is>
          <t>AGP-EXT-C-24kV</t>
        </is>
      </c>
      <c r="N43" s="7" t="n"/>
      <c r="O43" s="8" t="inlineStr">
        <is>
          <t>Upon request</t>
        </is>
      </c>
      <c r="P43" s="8">
        <f>IF(ISNUMBER(O43),O43*(1-N43),O43)</f>
        <v/>
      </c>
      <c r="Q43" s="6" t="inlineStr">
        <is>
          <t>Aegis Plus</t>
        </is>
      </c>
      <c r="R43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3" s="6" t="inlineStr">
        <is>
          <t>Aegis Plus Switchboards &amp; Modular Expansions</t>
        </is>
      </c>
      <c r="T43" s="5" t="n">
        <v>1</v>
      </c>
      <c r="U43" s="6" t="inlineStr">
        <is>
          <t>On-site extension without gas handling or specialized tooling</t>
        </is>
      </c>
      <c r="V43" s="5" t="n">
        <v>17</v>
      </c>
    </row>
    <row r="44" ht="20" customHeight="1">
      <c r="A44" s="9" t="n">
        <v>40</v>
      </c>
      <c r="B44" s="10" t="inlineStr">
        <is>
          <t>Lucy Electric</t>
        </is>
      </c>
      <c r="C44" s="10" t="inlineStr">
        <is>
          <t>Extensible RMU Modules</t>
        </is>
      </c>
      <c r="D44" s="10" t="inlineStr">
        <is>
          <t>Extensible Single Protection Module - Switch Fuse Combination (200A Fused Switch)</t>
        </is>
      </c>
      <c r="E44" s="10" t="inlineStr">
        <is>
          <t>Aegis Plus Extensible F 12kV</t>
        </is>
      </c>
      <c r="F44" s="10" t="inlineStr">
        <is>
          <t>Voltage: 12kV</t>
        </is>
      </c>
      <c r="G44" s="10" t="inlineStr">
        <is>
          <t>In (A): 200</t>
        </is>
      </c>
      <c r="H44" s="10" t="inlineStr">
        <is>
          <t>Withstand: 21kA 3s</t>
        </is>
      </c>
      <c r="I44" s="10" t="inlineStr">
        <is>
          <t>Extensibility: Side/Top Extensible</t>
        </is>
      </c>
      <c r="J44" s="10" t="inlineStr">
        <is>
          <t>Ingress: IP41 / IP54</t>
        </is>
      </c>
      <c r="K44" s="10" t="inlineStr">
        <is>
          <t>Extensible Module</t>
        </is>
      </c>
      <c r="L44" s="10" t="inlineStr">
        <is>
          <t>Configured to Order</t>
        </is>
      </c>
      <c r="M44" s="10" t="inlineStr">
        <is>
          <t>AGP-EXT-F-12kV</t>
        </is>
      </c>
      <c r="N44" s="11" t="n"/>
      <c r="O44" s="12" t="inlineStr">
        <is>
          <t>Upon request</t>
        </is>
      </c>
      <c r="P44" s="12">
        <f>IF(ISNUMBER(O44),O44*(1-N44),O44)</f>
        <v/>
      </c>
      <c r="Q44" s="10" t="inlineStr">
        <is>
          <t>Aegis Plus</t>
        </is>
      </c>
      <c r="R44" s="10" t="inlineStr">
        <is>
          <t>Dimensions: 370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4" s="10" t="inlineStr">
        <is>
          <t>Aegis Plus Switchboards &amp; Modular Expansions</t>
        </is>
      </c>
      <c r="T44" s="9" t="n">
        <v>1</v>
      </c>
      <c r="U44" s="10" t="inlineStr">
        <is>
          <t>On-site extension without gas handling or specialized tooling</t>
        </is>
      </c>
      <c r="V44" s="9" t="n">
        <v>16</v>
      </c>
    </row>
    <row r="45" ht="20" customHeight="1">
      <c r="A45" s="5" t="n">
        <v>41</v>
      </c>
      <c r="B45" s="6" t="inlineStr">
        <is>
          <t>Lucy Electric</t>
        </is>
      </c>
      <c r="C45" s="6" t="inlineStr">
        <is>
          <t>Extensible RMU Modules</t>
        </is>
      </c>
      <c r="D45" s="6" t="inlineStr">
        <is>
          <t>Extensible Single Protection Module - Switch Fuse Combination (200A Fused Switch)</t>
        </is>
      </c>
      <c r="E45" s="6" t="inlineStr">
        <is>
          <t>Aegis Plus Extensible F 24kV</t>
        </is>
      </c>
      <c r="F45" s="6" t="inlineStr">
        <is>
          <t>Voltage: 24kV</t>
        </is>
      </c>
      <c r="G45" s="6" t="inlineStr">
        <is>
          <t>In (A): 200</t>
        </is>
      </c>
      <c r="H45" s="6" t="inlineStr">
        <is>
          <t>Withstand: 21kA 3s</t>
        </is>
      </c>
      <c r="I45" s="6" t="inlineStr">
        <is>
          <t>Extensibility: Side/Top Extensible</t>
        </is>
      </c>
      <c r="J45" s="6" t="inlineStr">
        <is>
          <t>Ingress: IP41 / IP54</t>
        </is>
      </c>
      <c r="K45" s="6" t="inlineStr">
        <is>
          <t>Extensible Module</t>
        </is>
      </c>
      <c r="L45" s="6" t="inlineStr">
        <is>
          <t>Configured to Order</t>
        </is>
      </c>
      <c r="M45" s="6" t="inlineStr">
        <is>
          <t>AGP-EXT-F-24kV</t>
        </is>
      </c>
      <c r="N45" s="7" t="n"/>
      <c r="O45" s="8" t="inlineStr">
        <is>
          <t>Upon request</t>
        </is>
      </c>
      <c r="P45" s="8">
        <f>IF(ISNUMBER(O45),O45*(1-N45),O45)</f>
        <v/>
      </c>
      <c r="Q45" s="6" t="inlineStr">
        <is>
          <t>Aegis Plus</t>
        </is>
      </c>
      <c r="R45" s="6" t="inlineStr">
        <is>
          <t>Dimensions: 370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5" s="6" t="inlineStr">
        <is>
          <t>Aegis Plus Switchboards &amp; Modular Expansions</t>
        </is>
      </c>
      <c r="T45" s="5" t="n">
        <v>1</v>
      </c>
      <c r="U45" s="6" t="inlineStr">
        <is>
          <t>On-site extension without gas handling or specialized tooling</t>
        </is>
      </c>
      <c r="V45" s="5" t="n">
        <v>16</v>
      </c>
    </row>
    <row r="46" ht="20" customHeight="1">
      <c r="A46" s="9" t="n">
        <v>42</v>
      </c>
      <c r="B46" s="10" t="inlineStr">
        <is>
          <t>Lucy Electric</t>
        </is>
      </c>
      <c r="C46" s="10" t="inlineStr">
        <is>
          <t>Extensible RMU Modules</t>
        </is>
      </c>
      <c r="D46" s="10" t="inlineStr">
        <is>
          <t>Extensible Busbar Sectionaliser Switch Module (630A, 3-position, Extensible Both Sides)</t>
        </is>
      </c>
      <c r="E46" s="10" t="inlineStr">
        <is>
          <t>Aegis Plus Extensible SL 12kV</t>
        </is>
      </c>
      <c r="F46" s="10" t="inlineStr">
        <is>
          <t>Voltage: 12kV</t>
        </is>
      </c>
      <c r="G46" s="10" t="inlineStr">
        <is>
          <t>In (A): 630</t>
        </is>
      </c>
      <c r="H46" s="10" t="inlineStr">
        <is>
          <t>Withstand: 21kA 3s</t>
        </is>
      </c>
      <c r="I46" s="10" t="inlineStr">
        <is>
          <t>Extensibility: Both Sides Extensible</t>
        </is>
      </c>
      <c r="J46" s="10" t="inlineStr">
        <is>
          <t>Ingress: IP41 / IP54</t>
        </is>
      </c>
      <c r="K46" s="10" t="inlineStr">
        <is>
          <t>Extensible Module</t>
        </is>
      </c>
      <c r="L46" s="10" t="inlineStr">
        <is>
          <t>Configured to Order</t>
        </is>
      </c>
      <c r="M46" s="10" t="inlineStr">
        <is>
          <t>AGP-EXT-SL-12kV</t>
        </is>
      </c>
      <c r="N46" s="11" t="n"/>
      <c r="O46" s="12" t="inlineStr">
        <is>
          <t>Upon request</t>
        </is>
      </c>
      <c r="P46" s="12">
        <f>IF(ISNUMBER(O46),O46*(1-N46),O46)</f>
        <v/>
      </c>
      <c r="Q46" s="10" t="inlineStr">
        <is>
          <t>Aegis Plus</t>
        </is>
      </c>
      <c r="R46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6" s="10" t="inlineStr">
        <is>
          <t>Aegis Plus Switchboards &amp; Modular Expansions</t>
        </is>
      </c>
      <c r="T46" s="9" t="n">
        <v>1</v>
      </c>
      <c r="U46" s="10" t="inlineStr">
        <is>
          <t>On-site extension without gas handling or specialized tooling</t>
        </is>
      </c>
      <c r="V46" s="9" t="n">
        <v>18</v>
      </c>
    </row>
    <row r="47" ht="20" customHeight="1">
      <c r="A47" s="5" t="n">
        <v>43</v>
      </c>
      <c r="B47" s="6" t="inlineStr">
        <is>
          <t>Lucy Electric</t>
        </is>
      </c>
      <c r="C47" s="6" t="inlineStr">
        <is>
          <t>Extensible RMU Modules</t>
        </is>
      </c>
      <c r="D47" s="6" t="inlineStr">
        <is>
          <t>Extensible Busbar Sectionaliser Switch Module (630A, 3-position, Extensible Both Sides)</t>
        </is>
      </c>
      <c r="E47" s="6" t="inlineStr">
        <is>
          <t>Aegis Plus Extensible SL 24kV</t>
        </is>
      </c>
      <c r="F47" s="6" t="inlineStr">
        <is>
          <t>Voltage: 24kV</t>
        </is>
      </c>
      <c r="G47" s="6" t="inlineStr">
        <is>
          <t>In (A): 630</t>
        </is>
      </c>
      <c r="H47" s="6" t="inlineStr">
        <is>
          <t>Withstand: 21kA 3s</t>
        </is>
      </c>
      <c r="I47" s="6" t="inlineStr">
        <is>
          <t>Extensibility: Both Sides Extensible</t>
        </is>
      </c>
      <c r="J47" s="6" t="inlineStr">
        <is>
          <t>Ingress: IP41 / IP54</t>
        </is>
      </c>
      <c r="K47" s="6" t="inlineStr">
        <is>
          <t>Extensible Module</t>
        </is>
      </c>
      <c r="L47" s="6" t="inlineStr">
        <is>
          <t>Configured to Order</t>
        </is>
      </c>
      <c r="M47" s="6" t="inlineStr">
        <is>
          <t>AGP-EXT-SL-24kV</t>
        </is>
      </c>
      <c r="N47" s="7" t="n"/>
      <c r="O47" s="8" t="inlineStr">
        <is>
          <t>Upon request</t>
        </is>
      </c>
      <c r="P47" s="8">
        <f>IF(ISNUMBER(O47),O47*(1-N47),O47)</f>
        <v/>
      </c>
      <c r="Q47" s="6" t="inlineStr">
        <is>
          <t>Aegis Plus</t>
        </is>
      </c>
      <c r="R47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7" s="6" t="inlineStr">
        <is>
          <t>Aegis Plus Switchboards &amp; Modular Expansions</t>
        </is>
      </c>
      <c r="T47" s="5" t="n">
        <v>1</v>
      </c>
      <c r="U47" s="6" t="inlineStr">
        <is>
          <t>On-site extension without gas handling or specialized tooling</t>
        </is>
      </c>
      <c r="V47" s="5" t="n">
        <v>18</v>
      </c>
    </row>
    <row r="48" ht="20" customHeight="1">
      <c r="A48" s="9" t="n">
        <v>44</v>
      </c>
      <c r="B48" s="10" t="inlineStr">
        <is>
          <t>Lucy Electric</t>
        </is>
      </c>
      <c r="C48" s="10" t="inlineStr">
        <is>
          <t>Extensible RMU Modules</t>
        </is>
      </c>
      <c r="D48" s="10" t="inlineStr">
        <is>
          <t>Extensible Busbar Sectionaliser Circuit Breaker Module (630A VCB, Extensible Both Sides)</t>
        </is>
      </c>
      <c r="E48" s="10" t="inlineStr">
        <is>
          <t>Aegis Plus Extensible SV 12kV</t>
        </is>
      </c>
      <c r="F48" s="10" t="inlineStr">
        <is>
          <t>Voltage: 12kV</t>
        </is>
      </c>
      <c r="G48" s="10" t="inlineStr">
        <is>
          <t>In (A): 630</t>
        </is>
      </c>
      <c r="H48" s="10" t="inlineStr">
        <is>
          <t>Withstand: 21kA 3s</t>
        </is>
      </c>
      <c r="I48" s="10" t="inlineStr">
        <is>
          <t>Extensibility: Both Sides Extensible</t>
        </is>
      </c>
      <c r="J48" s="10" t="inlineStr">
        <is>
          <t>Ingress: IP41 / IP54</t>
        </is>
      </c>
      <c r="K48" s="10" t="inlineStr">
        <is>
          <t>Extensible Module</t>
        </is>
      </c>
      <c r="L48" s="10" t="inlineStr">
        <is>
          <t>Configured to Order</t>
        </is>
      </c>
      <c r="M48" s="10" t="inlineStr">
        <is>
          <t>AGP-EXT-SV-12kV</t>
        </is>
      </c>
      <c r="N48" s="11" t="n"/>
      <c r="O48" s="12" t="inlineStr">
        <is>
          <t>Upon request</t>
        </is>
      </c>
      <c r="P48" s="12">
        <f>IF(ISNUMBER(O48),O48*(1-N48),O48)</f>
        <v/>
      </c>
      <c r="Q48" s="10" t="inlineStr">
        <is>
          <t>Aegis Plus</t>
        </is>
      </c>
      <c r="R48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8" s="10" t="inlineStr">
        <is>
          <t>Aegis Plus Switchboards &amp; Modular Expansions</t>
        </is>
      </c>
      <c r="T48" s="9" t="n">
        <v>1</v>
      </c>
      <c r="U48" s="10" t="inlineStr">
        <is>
          <t>On-site extension without gas handling or specialized tooling</t>
        </is>
      </c>
      <c r="V48" s="9" t="n">
        <v>19</v>
      </c>
    </row>
    <row r="49" ht="20" customHeight="1">
      <c r="A49" s="5" t="n">
        <v>45</v>
      </c>
      <c r="B49" s="6" t="inlineStr">
        <is>
          <t>Lucy Electric</t>
        </is>
      </c>
      <c r="C49" s="6" t="inlineStr">
        <is>
          <t>Extensible RMU Modules</t>
        </is>
      </c>
      <c r="D49" s="6" t="inlineStr">
        <is>
          <t>Extensible Busbar Sectionaliser Circuit Breaker Module (630A VCB, Extensible Both Sides)</t>
        </is>
      </c>
      <c r="E49" s="6" t="inlineStr">
        <is>
          <t>Aegis Plus Extensible SV 24kV</t>
        </is>
      </c>
      <c r="F49" s="6" t="inlineStr">
        <is>
          <t>Voltage: 24kV</t>
        </is>
      </c>
      <c r="G49" s="6" t="inlineStr">
        <is>
          <t>In (A): 630</t>
        </is>
      </c>
      <c r="H49" s="6" t="inlineStr">
        <is>
          <t>Withstand: 21kA 3s</t>
        </is>
      </c>
      <c r="I49" s="6" t="inlineStr">
        <is>
          <t>Extensibility: Both Sides Extensible</t>
        </is>
      </c>
      <c r="J49" s="6" t="inlineStr">
        <is>
          <t>Ingress: IP41 / IP54</t>
        </is>
      </c>
      <c r="K49" s="6" t="inlineStr">
        <is>
          <t>Extensible Module</t>
        </is>
      </c>
      <c r="L49" s="6" t="inlineStr">
        <is>
          <t>Configured to Order</t>
        </is>
      </c>
      <c r="M49" s="6" t="inlineStr">
        <is>
          <t>AGP-EXT-SV-24kV</t>
        </is>
      </c>
      <c r="N49" s="7" t="n"/>
      <c r="O49" s="8" t="inlineStr">
        <is>
          <t>Upon request</t>
        </is>
      </c>
      <c r="P49" s="8">
        <f>IF(ISNUMBER(O49),O49*(1-N49),O49)</f>
        <v/>
      </c>
      <c r="Q49" s="6" t="inlineStr">
        <is>
          <t>Aegis Plus</t>
        </is>
      </c>
      <c r="R49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49" s="6" t="inlineStr">
        <is>
          <t>Aegis Plus Switchboards &amp; Modular Expansions</t>
        </is>
      </c>
      <c r="T49" s="5" t="n">
        <v>1</v>
      </c>
      <c r="U49" s="6" t="inlineStr">
        <is>
          <t>On-site extension without gas handling or specialized tooling</t>
        </is>
      </c>
      <c r="V49" s="5" t="n">
        <v>19</v>
      </c>
    </row>
    <row r="50" ht="20" customHeight="1">
      <c r="A50" s="9" t="n">
        <v>46</v>
      </c>
      <c r="B50" s="10" t="inlineStr">
        <is>
          <t>Lucy Electric</t>
        </is>
      </c>
      <c r="C50" s="10" t="inlineStr">
        <is>
          <t>Extensible RMU Modules</t>
        </is>
      </c>
      <c r="D50" s="10" t="inlineStr">
        <is>
          <t>Extensible Direct Cable Connection Module (630A Incomer/Feeder Connection)</t>
        </is>
      </c>
      <c r="E50" s="10" t="inlineStr">
        <is>
          <t>Aegis Plus Extensible R 12kV</t>
        </is>
      </c>
      <c r="F50" s="10" t="inlineStr">
        <is>
          <t>Voltage: 12kV</t>
        </is>
      </c>
      <c r="G50" s="10" t="inlineStr">
        <is>
          <t>In (A): 630</t>
        </is>
      </c>
      <c r="H50" s="10" t="inlineStr">
        <is>
          <t>Withstand: 21kA 3s</t>
        </is>
      </c>
      <c r="I50" s="10" t="inlineStr">
        <is>
          <t>Extensibility: Side/Top Extensible</t>
        </is>
      </c>
      <c r="J50" s="10" t="inlineStr">
        <is>
          <t>Ingress: IP41 / IP54</t>
        </is>
      </c>
      <c r="K50" s="10" t="inlineStr">
        <is>
          <t>Extensible Module</t>
        </is>
      </c>
      <c r="L50" s="10" t="inlineStr">
        <is>
          <t>Configured to Order</t>
        </is>
      </c>
      <c r="M50" s="10" t="inlineStr">
        <is>
          <t>AGP-EXT-R-12kV</t>
        </is>
      </c>
      <c r="N50" s="11" t="n"/>
      <c r="O50" s="12" t="inlineStr">
        <is>
          <t>Upon request</t>
        </is>
      </c>
      <c r="P50" s="12">
        <f>IF(ISNUMBER(O50),O50*(1-N50),O50)</f>
        <v/>
      </c>
      <c r="Q50" s="10" t="inlineStr">
        <is>
          <t>Aegis Plus</t>
        </is>
      </c>
      <c r="R50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0" s="10" t="inlineStr">
        <is>
          <t>Aegis Plus Switchboards &amp; Modular Expansions</t>
        </is>
      </c>
      <c r="T50" s="9" t="n">
        <v>1</v>
      </c>
      <c r="U50" s="10" t="inlineStr">
        <is>
          <t>On-site extension without gas handling or specialized tooling</t>
        </is>
      </c>
      <c r="V50" s="9" t="n">
        <v>20</v>
      </c>
    </row>
    <row r="51" ht="20" customHeight="1">
      <c r="A51" s="5" t="n">
        <v>47</v>
      </c>
      <c r="B51" s="6" t="inlineStr">
        <is>
          <t>Lucy Electric</t>
        </is>
      </c>
      <c r="C51" s="6" t="inlineStr">
        <is>
          <t>Extensible RMU Modules</t>
        </is>
      </c>
      <c r="D51" s="6" t="inlineStr">
        <is>
          <t>Extensible Direct Cable Connection Module (630A Incomer/Feeder Connection)</t>
        </is>
      </c>
      <c r="E51" s="6" t="inlineStr">
        <is>
          <t>Aegis Plus Extensible R 24kV</t>
        </is>
      </c>
      <c r="F51" s="6" t="inlineStr">
        <is>
          <t>Voltage: 24kV</t>
        </is>
      </c>
      <c r="G51" s="6" t="inlineStr">
        <is>
          <t>In (A): 630</t>
        </is>
      </c>
      <c r="H51" s="6" t="inlineStr">
        <is>
          <t>Withstand: 21kA 3s</t>
        </is>
      </c>
      <c r="I51" s="6" t="inlineStr">
        <is>
          <t>Extensibility: Side/Top Extensible</t>
        </is>
      </c>
      <c r="J51" s="6" t="inlineStr">
        <is>
          <t>Ingress: IP41 / IP54</t>
        </is>
      </c>
      <c r="K51" s="6" t="inlineStr">
        <is>
          <t>Extensible Module</t>
        </is>
      </c>
      <c r="L51" s="6" t="inlineStr">
        <is>
          <t>Configured to Order</t>
        </is>
      </c>
      <c r="M51" s="6" t="inlineStr">
        <is>
          <t>AGP-EXT-R-24kV</t>
        </is>
      </c>
      <c r="N51" s="7" t="n"/>
      <c r="O51" s="8" t="inlineStr">
        <is>
          <t>Upon request</t>
        </is>
      </c>
      <c r="P51" s="8">
        <f>IF(ISNUMBER(O51),O51*(1-N51),O51)</f>
        <v/>
      </c>
      <c r="Q51" s="6" t="inlineStr">
        <is>
          <t>Aegis Plus</t>
        </is>
      </c>
      <c r="R51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1" s="6" t="inlineStr">
        <is>
          <t>Aegis Plus Switchboards &amp; Modular Expansions</t>
        </is>
      </c>
      <c r="T51" s="5" t="n">
        <v>1</v>
      </c>
      <c r="U51" s="6" t="inlineStr">
        <is>
          <t>On-site extension without gas handling or specialized tooling</t>
        </is>
      </c>
      <c r="V51" s="5" t="n">
        <v>20</v>
      </c>
    </row>
    <row r="52" ht="20" customHeight="1">
      <c r="A52" s="9" t="n">
        <v>48</v>
      </c>
      <c r="B52" s="10" t="inlineStr">
        <is>
          <t>Lucy Electric</t>
        </is>
      </c>
      <c r="C52" s="10" t="inlineStr">
        <is>
          <t>Extensible RMU Modules</t>
        </is>
      </c>
      <c r="D52" s="10" t="inlineStr">
        <is>
          <t>Extensible Busbar Earthing Switch Module (630A Earth Switch, Extensible Both Sides)</t>
        </is>
      </c>
      <c r="E52" s="10" t="inlineStr">
        <is>
          <t>Aegis Plus Extensible Be 12kV</t>
        </is>
      </c>
      <c r="F52" s="10" t="inlineStr">
        <is>
          <t>Voltage: 12kV</t>
        </is>
      </c>
      <c r="G52" s="10" t="inlineStr">
        <is>
          <t>In (A): 630</t>
        </is>
      </c>
      <c r="H52" s="10" t="inlineStr">
        <is>
          <t>Withstand: 21kA 3s</t>
        </is>
      </c>
      <c r="I52" s="10" t="inlineStr">
        <is>
          <t>Extensibility: Both Sides Extensible</t>
        </is>
      </c>
      <c r="J52" s="10" t="inlineStr">
        <is>
          <t>Ingress: IP41 / IP54</t>
        </is>
      </c>
      <c r="K52" s="10" t="inlineStr">
        <is>
          <t>Extensible Module</t>
        </is>
      </c>
      <c r="L52" s="10" t="inlineStr">
        <is>
          <t>Configured to Order</t>
        </is>
      </c>
      <c r="M52" s="10" t="inlineStr">
        <is>
          <t>AGP-EXT-Be-12kV</t>
        </is>
      </c>
      <c r="N52" s="11" t="n"/>
      <c r="O52" s="12" t="inlineStr">
        <is>
          <t>Upon request</t>
        </is>
      </c>
      <c r="P52" s="12">
        <f>IF(ISNUMBER(O52),O52*(1-N52),O52)</f>
        <v/>
      </c>
      <c r="Q52" s="10" t="inlineStr">
        <is>
          <t>Aegis Plus</t>
        </is>
      </c>
      <c r="R52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2" s="10" t="inlineStr">
        <is>
          <t>Aegis Plus Switchboards &amp; Modular Expansions</t>
        </is>
      </c>
      <c r="T52" s="9" t="n">
        <v>1</v>
      </c>
      <c r="U52" s="10" t="inlineStr">
        <is>
          <t>On-site extension without gas handling or specialized tooling</t>
        </is>
      </c>
      <c r="V52" s="9" t="n">
        <v>21</v>
      </c>
    </row>
    <row r="53" ht="20" customHeight="1">
      <c r="A53" s="5" t="n">
        <v>49</v>
      </c>
      <c r="B53" s="6" t="inlineStr">
        <is>
          <t>Lucy Electric</t>
        </is>
      </c>
      <c r="C53" s="6" t="inlineStr">
        <is>
          <t>Extensible RMU Modules</t>
        </is>
      </c>
      <c r="D53" s="6" t="inlineStr">
        <is>
          <t>Extensible Busbar Earthing Switch Module (630A Earth Switch, Extensible Both Sides)</t>
        </is>
      </c>
      <c r="E53" s="6" t="inlineStr">
        <is>
          <t>Aegis Plus Extensible Be 24kV</t>
        </is>
      </c>
      <c r="F53" s="6" t="inlineStr">
        <is>
          <t>Voltage: 24kV</t>
        </is>
      </c>
      <c r="G53" s="6" t="inlineStr">
        <is>
          <t>In (A): 630</t>
        </is>
      </c>
      <c r="H53" s="6" t="inlineStr">
        <is>
          <t>Withstand: 21kA 3s</t>
        </is>
      </c>
      <c r="I53" s="6" t="inlineStr">
        <is>
          <t>Extensibility: Both Sides Extensible</t>
        </is>
      </c>
      <c r="J53" s="6" t="inlineStr">
        <is>
          <t>Ingress: IP41 / IP54</t>
        </is>
      </c>
      <c r="K53" s="6" t="inlineStr">
        <is>
          <t>Extensible Module</t>
        </is>
      </c>
      <c r="L53" s="6" t="inlineStr">
        <is>
          <t>Configured to Order</t>
        </is>
      </c>
      <c r="M53" s="6" t="inlineStr">
        <is>
          <t>AGP-EXT-Be-24kV</t>
        </is>
      </c>
      <c r="N53" s="7" t="n"/>
      <c r="O53" s="8" t="inlineStr">
        <is>
          <t>Upon request</t>
        </is>
      </c>
      <c r="P53" s="8">
        <f>IF(ISNUMBER(O53),O53*(1-N53),O53)</f>
        <v/>
      </c>
      <c r="Q53" s="6" t="inlineStr">
        <is>
          <t>Aegis Plus</t>
        </is>
      </c>
      <c r="R53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3" s="6" t="inlineStr">
        <is>
          <t>Aegis Plus Switchboards &amp; Modular Expansions</t>
        </is>
      </c>
      <c r="T53" s="5" t="n">
        <v>1</v>
      </c>
      <c r="U53" s="6" t="inlineStr">
        <is>
          <t>On-site extension without gas handling or specialized tooling</t>
        </is>
      </c>
      <c r="V53" s="5" t="n">
        <v>21</v>
      </c>
    </row>
    <row r="54" ht="20" customHeight="1">
      <c r="A54" s="9" t="n">
        <v>50</v>
      </c>
      <c r="B54" s="10" t="inlineStr">
        <is>
          <t>Lucy Electric</t>
        </is>
      </c>
      <c r="C54" s="10" t="inlineStr">
        <is>
          <t>Extensible RMU Modules</t>
        </is>
      </c>
      <c r="D54" s="10" t="inlineStr">
        <is>
          <t>2-Function Extensible RMU (2x 630A Load Break Switches)</t>
        </is>
      </c>
      <c r="E54" s="10" t="inlineStr">
        <is>
          <t>Aegis Plus Extensible LL-Ext 12kV</t>
        </is>
      </c>
      <c r="F54" s="10" t="inlineStr">
        <is>
          <t>Voltage: 12kV</t>
        </is>
      </c>
      <c r="G54" s="10" t="inlineStr">
        <is>
          <t>In (A): 630</t>
        </is>
      </c>
      <c r="H54" s="10" t="inlineStr">
        <is>
          <t>Withstand: 21kA 3s</t>
        </is>
      </c>
      <c r="I54" s="10" t="inlineStr">
        <is>
          <t>Extensibility: Side/Top Extensible</t>
        </is>
      </c>
      <c r="J54" s="10" t="inlineStr">
        <is>
          <t>Ingress: IP41 / IP54</t>
        </is>
      </c>
      <c r="K54" s="10" t="inlineStr">
        <is>
          <t>Extensible Module</t>
        </is>
      </c>
      <c r="L54" s="10" t="inlineStr">
        <is>
          <t>Configured to Order</t>
        </is>
      </c>
      <c r="M54" s="10" t="inlineStr">
        <is>
          <t>AGP-EXT-LL-Ext-12kV</t>
        </is>
      </c>
      <c r="N54" s="11" t="n"/>
      <c r="O54" s="12" t="inlineStr">
        <is>
          <t>Upon request</t>
        </is>
      </c>
      <c r="P54" s="12">
        <f>IF(ISNUMBER(O54),O54*(1-N54),O54)</f>
        <v/>
      </c>
      <c r="Q54" s="10" t="inlineStr">
        <is>
          <t>Aegis Plus</t>
        </is>
      </c>
      <c r="R54" s="10" t="inlineStr">
        <is>
          <t>Dimensions: 710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4" s="10" t="inlineStr">
        <is>
          <t>Aegis Plus Switchboards &amp; Modular Expansions</t>
        </is>
      </c>
      <c r="T54" s="9" t="n">
        <v>1</v>
      </c>
      <c r="U54" s="10" t="inlineStr">
        <is>
          <t>On-site extension without gas handling or specialized tooling</t>
        </is>
      </c>
      <c r="V54" s="9" t="n">
        <v>11</v>
      </c>
    </row>
    <row r="55" ht="20" customHeight="1">
      <c r="A55" s="5" t="n">
        <v>51</v>
      </c>
      <c r="B55" s="6" t="inlineStr">
        <is>
          <t>Lucy Electric</t>
        </is>
      </c>
      <c r="C55" s="6" t="inlineStr">
        <is>
          <t>Extensible RMU Modules</t>
        </is>
      </c>
      <c r="D55" s="6" t="inlineStr">
        <is>
          <t>2-Function Extensible RMU (2x 630A Load Break Switches)</t>
        </is>
      </c>
      <c r="E55" s="6" t="inlineStr">
        <is>
          <t>Aegis Plus Extensible LL-Ext 24kV</t>
        </is>
      </c>
      <c r="F55" s="6" t="inlineStr">
        <is>
          <t>Voltage: 24kV</t>
        </is>
      </c>
      <c r="G55" s="6" t="inlineStr">
        <is>
          <t>In (A): 630</t>
        </is>
      </c>
      <c r="H55" s="6" t="inlineStr">
        <is>
          <t>Withstand: 21kA 3s</t>
        </is>
      </c>
      <c r="I55" s="6" t="inlineStr">
        <is>
          <t>Extensibility: Side/Top Extensible</t>
        </is>
      </c>
      <c r="J55" s="6" t="inlineStr">
        <is>
          <t>Ingress: IP41 / IP54</t>
        </is>
      </c>
      <c r="K55" s="6" t="inlineStr">
        <is>
          <t>Extensible Module</t>
        </is>
      </c>
      <c r="L55" s="6" t="inlineStr">
        <is>
          <t>Configured to Order</t>
        </is>
      </c>
      <c r="M55" s="6" t="inlineStr">
        <is>
          <t>AGP-EXT-LL-Ext-24kV</t>
        </is>
      </c>
      <c r="N55" s="7" t="n"/>
      <c r="O55" s="8" t="inlineStr">
        <is>
          <t>Upon request</t>
        </is>
      </c>
      <c r="P55" s="8">
        <f>IF(ISNUMBER(O55),O55*(1-N55),O55)</f>
        <v/>
      </c>
      <c r="Q55" s="6" t="inlineStr">
        <is>
          <t>Aegis Plus</t>
        </is>
      </c>
      <c r="R55" s="6" t="inlineStr">
        <is>
          <t>Dimensions: 710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5" s="6" t="inlineStr">
        <is>
          <t>Aegis Plus Switchboards &amp; Modular Expansions</t>
        </is>
      </c>
      <c r="T55" s="5" t="n">
        <v>1</v>
      </c>
      <c r="U55" s="6" t="inlineStr">
        <is>
          <t>On-site extension without gas handling or specialized tooling</t>
        </is>
      </c>
      <c r="V55" s="5" t="n">
        <v>11</v>
      </c>
    </row>
    <row r="56" ht="20" customHeight="1">
      <c r="A56" s="9" t="n">
        <v>52</v>
      </c>
      <c r="B56" s="10" t="inlineStr">
        <is>
          <t>Lucy Electric</t>
        </is>
      </c>
      <c r="C56" s="10" t="inlineStr">
        <is>
          <t>Extensible RMU Modules</t>
        </is>
      </c>
      <c r="D56" s="10" t="inlineStr">
        <is>
          <t>3-Function Extensible RMU (2x 630A LBS + 1x 200A Switch Fuse)</t>
        </is>
      </c>
      <c r="E56" s="10" t="inlineStr">
        <is>
          <t>Aegis Plus Extensible LLF-Ext 12kV</t>
        </is>
      </c>
      <c r="F56" s="10" t="inlineStr">
        <is>
          <t>Voltage: 12kV</t>
        </is>
      </c>
      <c r="G56" s="10" t="inlineStr">
        <is>
          <t>In (A): 630</t>
        </is>
      </c>
      <c r="H56" s="10" t="inlineStr">
        <is>
          <t>Withstand: 21kA 3s</t>
        </is>
      </c>
      <c r="I56" s="10" t="inlineStr">
        <is>
          <t>Extensibility: Side/Top Extensible</t>
        </is>
      </c>
      <c r="J56" s="10" t="inlineStr">
        <is>
          <t>Ingress: IP41 / IP54</t>
        </is>
      </c>
      <c r="K56" s="10" t="inlineStr">
        <is>
          <t>Extensible Module</t>
        </is>
      </c>
      <c r="L56" s="10" t="inlineStr">
        <is>
          <t>Configured to Order</t>
        </is>
      </c>
      <c r="M56" s="10" t="inlineStr">
        <is>
          <t>AGP-EXT-LLF-Ext-12kV</t>
        </is>
      </c>
      <c r="N56" s="11" t="n"/>
      <c r="O56" s="12" t="inlineStr">
        <is>
          <t>Upon request</t>
        </is>
      </c>
      <c r="P56" s="12">
        <f>IF(ISNUMBER(O56),O56*(1-N56),O56)</f>
        <v/>
      </c>
      <c r="Q56" s="10" t="inlineStr">
        <is>
          <t>Aegis Plus</t>
        </is>
      </c>
      <c r="R56" s="10" t="inlineStr">
        <is>
          <t>Dimensions: 1050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6" s="10" t="inlineStr">
        <is>
          <t>Aegis Plus Switchboards &amp; Modular Expansions</t>
        </is>
      </c>
      <c r="T56" s="9" t="n">
        <v>1</v>
      </c>
      <c r="U56" s="10" t="inlineStr">
        <is>
          <t>On-site extension without gas handling or specialized tooling</t>
        </is>
      </c>
      <c r="V56" s="9" t="n">
        <v>11</v>
      </c>
    </row>
    <row r="57" ht="20" customHeight="1">
      <c r="A57" s="5" t="n">
        <v>53</v>
      </c>
      <c r="B57" s="6" t="inlineStr">
        <is>
          <t>Lucy Electric</t>
        </is>
      </c>
      <c r="C57" s="6" t="inlineStr">
        <is>
          <t>Extensible RMU Modules</t>
        </is>
      </c>
      <c r="D57" s="6" t="inlineStr">
        <is>
          <t>3-Function Extensible RMU (2x 630A LBS + 1x 200A Switch Fuse)</t>
        </is>
      </c>
      <c r="E57" s="6" t="inlineStr">
        <is>
          <t>Aegis Plus Extensible LLF-Ext 24kV</t>
        </is>
      </c>
      <c r="F57" s="6" t="inlineStr">
        <is>
          <t>Voltage: 24kV</t>
        </is>
      </c>
      <c r="G57" s="6" t="inlineStr">
        <is>
          <t>In (A): 630</t>
        </is>
      </c>
      <c r="H57" s="6" t="inlineStr">
        <is>
          <t>Withstand: 21kA 3s</t>
        </is>
      </c>
      <c r="I57" s="6" t="inlineStr">
        <is>
          <t>Extensibility: Side/Top Extensible</t>
        </is>
      </c>
      <c r="J57" s="6" t="inlineStr">
        <is>
          <t>Ingress: IP41 / IP54</t>
        </is>
      </c>
      <c r="K57" s="6" t="inlineStr">
        <is>
          <t>Extensible Module</t>
        </is>
      </c>
      <c r="L57" s="6" t="inlineStr">
        <is>
          <t>Configured to Order</t>
        </is>
      </c>
      <c r="M57" s="6" t="inlineStr">
        <is>
          <t>AGP-EXT-LLF-Ext-24kV</t>
        </is>
      </c>
      <c r="N57" s="7" t="n"/>
      <c r="O57" s="8" t="inlineStr">
        <is>
          <t>Upon request</t>
        </is>
      </c>
      <c r="P57" s="8">
        <f>IF(ISNUMBER(O57),O57*(1-N57),O57)</f>
        <v/>
      </c>
      <c r="Q57" s="6" t="inlineStr">
        <is>
          <t>Aegis Plus</t>
        </is>
      </c>
      <c r="R57" s="6" t="inlineStr">
        <is>
          <t>Dimensions: 1050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7" s="6" t="inlineStr">
        <is>
          <t>Aegis Plus Switchboards &amp; Modular Expansions</t>
        </is>
      </c>
      <c r="T57" s="5" t="n">
        <v>1</v>
      </c>
      <c r="U57" s="6" t="inlineStr">
        <is>
          <t>On-site extension without gas handling or specialized tooling</t>
        </is>
      </c>
      <c r="V57" s="5" t="n">
        <v>11</v>
      </c>
    </row>
    <row r="58" ht="20" customHeight="1">
      <c r="A58" s="9" t="n">
        <v>54</v>
      </c>
      <c r="B58" s="10" t="inlineStr">
        <is>
          <t>Lucy Electric</t>
        </is>
      </c>
      <c r="C58" s="10" t="inlineStr">
        <is>
          <t>Extensible RMU Modules</t>
        </is>
      </c>
      <c r="D58" s="10" t="inlineStr">
        <is>
          <t>3-Function Extensible RMU (2x 630A LBS + 1x 630A VCB)</t>
        </is>
      </c>
      <c r="E58" s="10" t="inlineStr">
        <is>
          <t>Aegis Plus Extensible LLV-Ext 12kV</t>
        </is>
      </c>
      <c r="F58" s="10" t="inlineStr">
        <is>
          <t>Voltage: 12kV</t>
        </is>
      </c>
      <c r="G58" s="10" t="inlineStr">
        <is>
          <t>In (A): 630</t>
        </is>
      </c>
      <c r="H58" s="10" t="inlineStr">
        <is>
          <t>Withstand: 21kA 3s</t>
        </is>
      </c>
      <c r="I58" s="10" t="inlineStr">
        <is>
          <t>Extensibility: Side/Top Extensible</t>
        </is>
      </c>
      <c r="J58" s="10" t="inlineStr">
        <is>
          <t>Ingress: IP41 / IP54</t>
        </is>
      </c>
      <c r="K58" s="10" t="inlineStr">
        <is>
          <t>Extensible Module</t>
        </is>
      </c>
      <c r="L58" s="10" t="inlineStr">
        <is>
          <t>Configured to Order</t>
        </is>
      </c>
      <c r="M58" s="10" t="inlineStr">
        <is>
          <t>AGP-EXT-LLV-Ext-12kV</t>
        </is>
      </c>
      <c r="N58" s="11" t="n"/>
      <c r="O58" s="12" t="inlineStr">
        <is>
          <t>Upon request</t>
        </is>
      </c>
      <c r="P58" s="12">
        <f>IF(ISNUMBER(O58),O58*(1-N58),O58)</f>
        <v/>
      </c>
      <c r="Q58" s="10" t="inlineStr">
        <is>
          <t>Aegis Plus</t>
        </is>
      </c>
      <c r="R58" s="10" t="inlineStr">
        <is>
          <t>Dimensions: 1050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8" s="10" t="inlineStr">
        <is>
          <t>Aegis Plus Switchboards &amp; Modular Expansions</t>
        </is>
      </c>
      <c r="T58" s="9" t="n">
        <v>1</v>
      </c>
      <c r="U58" s="10" t="inlineStr">
        <is>
          <t>On-site extension without gas handling or specialized tooling</t>
        </is>
      </c>
      <c r="V58" s="9" t="n">
        <v>11</v>
      </c>
    </row>
    <row r="59" ht="20" customHeight="1">
      <c r="A59" s="5" t="n">
        <v>55</v>
      </c>
      <c r="B59" s="6" t="inlineStr">
        <is>
          <t>Lucy Electric</t>
        </is>
      </c>
      <c r="C59" s="6" t="inlineStr">
        <is>
          <t>Extensible RMU Modules</t>
        </is>
      </c>
      <c r="D59" s="6" t="inlineStr">
        <is>
          <t>3-Function Extensible RMU (2x 630A LBS + 1x 630A VCB)</t>
        </is>
      </c>
      <c r="E59" s="6" t="inlineStr">
        <is>
          <t>Aegis Plus Extensible LLV-Ext 24kV</t>
        </is>
      </c>
      <c r="F59" s="6" t="inlineStr">
        <is>
          <t>Voltage: 24kV</t>
        </is>
      </c>
      <c r="G59" s="6" t="inlineStr">
        <is>
          <t>In (A): 630</t>
        </is>
      </c>
      <c r="H59" s="6" t="inlineStr">
        <is>
          <t>Withstand: 21kA 3s</t>
        </is>
      </c>
      <c r="I59" s="6" t="inlineStr">
        <is>
          <t>Extensibility: Side/Top Extensible</t>
        </is>
      </c>
      <c r="J59" s="6" t="inlineStr">
        <is>
          <t>Ingress: IP41 / IP54</t>
        </is>
      </c>
      <c r="K59" s="6" t="inlineStr">
        <is>
          <t>Extensible Module</t>
        </is>
      </c>
      <c r="L59" s="6" t="inlineStr">
        <is>
          <t>Configured to Order</t>
        </is>
      </c>
      <c r="M59" s="6" t="inlineStr">
        <is>
          <t>AGP-EXT-LLV-Ext-24kV</t>
        </is>
      </c>
      <c r="N59" s="7" t="n"/>
      <c r="O59" s="8" t="inlineStr">
        <is>
          <t>Upon request</t>
        </is>
      </c>
      <c r="P59" s="8">
        <f>IF(ISNUMBER(O59),O59*(1-N59),O59)</f>
        <v/>
      </c>
      <c r="Q59" s="6" t="inlineStr">
        <is>
          <t>Aegis Plus</t>
        </is>
      </c>
      <c r="R59" s="6" t="inlineStr">
        <is>
          <t>Dimensions: 1050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59" s="6" t="inlineStr">
        <is>
          <t>Aegis Plus Switchboards &amp; Modular Expansions</t>
        </is>
      </c>
      <c r="T59" s="5" t="n">
        <v>1</v>
      </c>
      <c r="U59" s="6" t="inlineStr">
        <is>
          <t>On-site extension without gas handling or specialized tooling</t>
        </is>
      </c>
      <c r="V59" s="5" t="n">
        <v>11</v>
      </c>
    </row>
    <row r="60" ht="20" customHeight="1">
      <c r="A60" s="9" t="n">
        <v>56</v>
      </c>
      <c r="B60" s="10" t="inlineStr">
        <is>
          <t>Lucy Electric</t>
        </is>
      </c>
      <c r="C60" s="10" t="inlineStr">
        <is>
          <t>Extensible RMU Modules</t>
        </is>
      </c>
      <c r="D60" s="10" t="inlineStr">
        <is>
          <t>4-Function Extensible RMU (3x 630A LBS + 1x 200A Switch Fuse)</t>
        </is>
      </c>
      <c r="E60" s="10" t="inlineStr">
        <is>
          <t>Aegis Plus Extensible LLLF-Ext 12kV</t>
        </is>
      </c>
      <c r="F60" s="10" t="inlineStr">
        <is>
          <t>Voltage: 12kV</t>
        </is>
      </c>
      <c r="G60" s="10" t="inlineStr">
        <is>
          <t>In (A): 630</t>
        </is>
      </c>
      <c r="H60" s="10" t="inlineStr">
        <is>
          <t>Withstand: 21kA 3s</t>
        </is>
      </c>
      <c r="I60" s="10" t="inlineStr">
        <is>
          <t>Extensibility: Side/Top Extensible</t>
        </is>
      </c>
      <c r="J60" s="10" t="inlineStr">
        <is>
          <t>Ingress: IP41 / IP54</t>
        </is>
      </c>
      <c r="K60" s="10" t="inlineStr">
        <is>
          <t>Extensible Module</t>
        </is>
      </c>
      <c r="L60" s="10" t="inlineStr">
        <is>
          <t>Configured to Order</t>
        </is>
      </c>
      <c r="M60" s="10" t="inlineStr">
        <is>
          <t>AGP-EXT-LLLF-Ext-12kV</t>
        </is>
      </c>
      <c r="N60" s="11" t="n"/>
      <c r="O60" s="12" t="inlineStr">
        <is>
          <t>Upon request</t>
        </is>
      </c>
      <c r="P60" s="12">
        <f>IF(ISNUMBER(O60),O60*(1-N60),O60)</f>
        <v/>
      </c>
      <c r="Q60" s="10" t="inlineStr">
        <is>
          <t>Aegis Plus</t>
        </is>
      </c>
      <c r="R60" s="10" t="inlineStr">
        <is>
          <t>Dimensions: 1395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60" s="10" t="inlineStr">
        <is>
          <t>Aegis Plus Switchboards &amp; Modular Expansions</t>
        </is>
      </c>
      <c r="T60" s="9" t="n">
        <v>1</v>
      </c>
      <c r="U60" s="10" t="inlineStr">
        <is>
          <t>On-site extension without gas handling or specialized tooling</t>
        </is>
      </c>
      <c r="V60" s="9" t="n">
        <v>11</v>
      </c>
    </row>
    <row r="61" ht="20" customHeight="1">
      <c r="A61" s="5" t="n">
        <v>57</v>
      </c>
      <c r="B61" s="6" t="inlineStr">
        <is>
          <t>Lucy Electric</t>
        </is>
      </c>
      <c r="C61" s="6" t="inlineStr">
        <is>
          <t>Extensible RMU Modules</t>
        </is>
      </c>
      <c r="D61" s="6" t="inlineStr">
        <is>
          <t>4-Function Extensible RMU (3x 630A LBS + 1x 630A VCB)</t>
        </is>
      </c>
      <c r="E61" s="6" t="inlineStr">
        <is>
          <t>Aegis Plus Extensible LLLV-Ext 12kV</t>
        </is>
      </c>
      <c r="F61" s="6" t="inlineStr">
        <is>
          <t>Voltage: 12kV</t>
        </is>
      </c>
      <c r="G61" s="6" t="inlineStr">
        <is>
          <t>In (A): 630</t>
        </is>
      </c>
      <c r="H61" s="6" t="inlineStr">
        <is>
          <t>Withstand: 21kA 3s</t>
        </is>
      </c>
      <c r="I61" s="6" t="inlineStr">
        <is>
          <t>Extensibility: Side/Top Extensible</t>
        </is>
      </c>
      <c r="J61" s="6" t="inlineStr">
        <is>
          <t>Ingress: IP41 / IP54</t>
        </is>
      </c>
      <c r="K61" s="6" t="inlineStr">
        <is>
          <t>Extensible Module</t>
        </is>
      </c>
      <c r="L61" s="6" t="inlineStr">
        <is>
          <t>Configured to Order</t>
        </is>
      </c>
      <c r="M61" s="6" t="inlineStr">
        <is>
          <t>AGP-EXT-LLLV-Ext-12kV</t>
        </is>
      </c>
      <c r="N61" s="7" t="n"/>
      <c r="O61" s="8" t="inlineStr">
        <is>
          <t>Upon request</t>
        </is>
      </c>
      <c r="P61" s="8">
        <f>IF(ISNUMBER(O61),O61*(1-N61),O61)</f>
        <v/>
      </c>
      <c r="Q61" s="6" t="inlineStr">
        <is>
          <t>Aegis Plus</t>
        </is>
      </c>
      <c r="R61" s="6" t="inlineStr">
        <is>
          <t>Dimensions: 1395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S61" s="6" t="inlineStr">
        <is>
          <t>Aegis Plus Switchboards &amp; Modular Expansions</t>
        </is>
      </c>
      <c r="T61" s="5" t="n">
        <v>1</v>
      </c>
      <c r="U61" s="6" t="inlineStr">
        <is>
          <t>On-site extension without gas handling or specialized tooling</t>
        </is>
      </c>
      <c r="V61" s="5" t="n">
        <v>11</v>
      </c>
    </row>
    <row r="62" ht="20" customHeight="1">
      <c r="A62" s="9" t="n">
        <v>58</v>
      </c>
      <c r="B62" s="10" t="inlineStr">
        <is>
          <t>Lucy Electric</t>
        </is>
      </c>
      <c r="C62" s="10" t="inlineStr">
        <is>
          <t>Air Metering Unit (AMU)</t>
        </is>
      </c>
      <c r="D62" s="10" t="inlineStr">
        <is>
          <t>Air Metering Unit - Freestanding Tariff Metering (Cable In / Cable Out, Non-Extensible)</t>
        </is>
      </c>
      <c r="E62" s="10" t="inlineStr">
        <is>
          <t>AMU Mt-NE 12kV 630A</t>
        </is>
      </c>
      <c r="F62" s="10" t="inlineStr">
        <is>
          <t>Voltage: 12kV</t>
        </is>
      </c>
      <c r="G62" s="10" t="inlineStr">
        <is>
          <t>In (A): 630</t>
        </is>
      </c>
      <c r="H62" s="10" t="inlineStr">
        <is>
          <t>Withstand: 20kA 1s</t>
        </is>
      </c>
      <c r="I62" s="10" t="inlineStr">
        <is>
          <t>Extensibility: Non-Extensible</t>
        </is>
      </c>
      <c r="J62" s="10" t="inlineStr">
        <is>
          <t>Ingress: IP41 (Indoor)</t>
        </is>
      </c>
      <c r="K62" s="10" t="inlineStr">
        <is>
          <t>Metering Panel</t>
        </is>
      </c>
      <c r="L62" s="10" t="inlineStr">
        <is>
          <t>Configured to Order</t>
        </is>
      </c>
      <c r="M62" s="10" t="inlineStr">
        <is>
          <t>AMU-Mt-NE-12kV</t>
        </is>
      </c>
      <c r="N62" s="11" t="n"/>
      <c r="O62" s="12" t="inlineStr">
        <is>
          <t>Upon request</t>
        </is>
      </c>
      <c r="P62" s="12">
        <f>IF(ISNUMBER(O62),O62*(1-N62),O62)</f>
        <v/>
      </c>
      <c r="Q62" s="10" t="inlineStr">
        <is>
          <t>Aegis Plus AMU</t>
        </is>
      </c>
      <c r="R62" s="10" t="inlineStr">
        <is>
          <t>Dimensions: 725 x 670 x 1430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2" s="10" t="inlineStr">
        <is>
          <t>Aegis Plus Ring Main Units &amp; Utility Tariff Metering</t>
        </is>
      </c>
      <c r="T62" s="9" t="n">
        <v>1</v>
      </c>
      <c r="U62" s="10" t="inlineStr">
        <is>
          <t>Fully type tested to IEC 62271-200; supports conventional CTs &amp; VTs</t>
        </is>
      </c>
      <c r="V62" s="9" t="n">
        <v>36</v>
      </c>
    </row>
    <row r="63" ht="20" customHeight="1">
      <c r="A63" s="5" t="n">
        <v>59</v>
      </c>
      <c r="B63" s="6" t="inlineStr">
        <is>
          <t>Lucy Electric</t>
        </is>
      </c>
      <c r="C63" s="6" t="inlineStr">
        <is>
          <t>Air Metering Unit (AMU)</t>
        </is>
      </c>
      <c r="D63" s="6" t="inlineStr">
        <is>
          <t>Air Metering Unit - Freestanding Tariff Metering (Cable In / Cable Out, Non-Extensible)</t>
        </is>
      </c>
      <c r="E63" s="6" t="inlineStr">
        <is>
          <t>AMU Mt-NE 24kV 630A</t>
        </is>
      </c>
      <c r="F63" s="6" t="inlineStr">
        <is>
          <t>Voltage: 24kV</t>
        </is>
      </c>
      <c r="G63" s="6" t="inlineStr">
        <is>
          <t>In (A): 630</t>
        </is>
      </c>
      <c r="H63" s="6" t="inlineStr">
        <is>
          <t>Withstand: 20kA 1s</t>
        </is>
      </c>
      <c r="I63" s="6" t="inlineStr">
        <is>
          <t>Extensibility: Non-Extensible</t>
        </is>
      </c>
      <c r="J63" s="6" t="inlineStr">
        <is>
          <t>Ingress: IP41 (Indoor)</t>
        </is>
      </c>
      <c r="K63" s="6" t="inlineStr">
        <is>
          <t>Metering Panel</t>
        </is>
      </c>
      <c r="L63" s="6" t="inlineStr">
        <is>
          <t>Configured to Order</t>
        </is>
      </c>
      <c r="M63" s="6" t="inlineStr">
        <is>
          <t>AMU-Mt-NE-24kV</t>
        </is>
      </c>
      <c r="N63" s="7" t="n"/>
      <c r="O63" s="8" t="inlineStr">
        <is>
          <t>Upon request</t>
        </is>
      </c>
      <c r="P63" s="8">
        <f>IF(ISNUMBER(O63),O63*(1-N63),O63)</f>
        <v/>
      </c>
      <c r="Q63" s="6" t="inlineStr">
        <is>
          <t>Aegis Plus AMU</t>
        </is>
      </c>
      <c r="R63" s="6" t="inlineStr">
        <is>
          <t>Dimensions: 725 x 670 x 1430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3" s="6" t="inlineStr">
        <is>
          <t>Aegis Plus Ring Main Units &amp; Utility Tariff Metering</t>
        </is>
      </c>
      <c r="T63" s="5" t="n">
        <v>1</v>
      </c>
      <c r="U63" s="6" t="inlineStr">
        <is>
          <t>Fully type tested to IEC 62271-200; supports conventional CTs &amp; VTs</t>
        </is>
      </c>
      <c r="V63" s="5" t="n">
        <v>36</v>
      </c>
    </row>
    <row r="64" ht="20" customHeight="1">
      <c r="A64" s="9" t="n">
        <v>60</v>
      </c>
      <c r="B64" s="10" t="inlineStr">
        <is>
          <t>Lucy Electric</t>
        </is>
      </c>
      <c r="C64" s="10" t="inlineStr">
        <is>
          <t>Air Metering Unit (AMU)</t>
        </is>
      </c>
      <c r="D64" s="10" t="inlineStr">
        <is>
          <t>Air Metering Unit - Freestanding Tariff Metering (Cable In / Cable Out, Outdoor)</t>
        </is>
      </c>
      <c r="E64" s="10" t="inlineStr">
        <is>
          <t>AMU Mt-NE-OUT 12kV 630A</t>
        </is>
      </c>
      <c r="F64" s="10" t="inlineStr">
        <is>
          <t>Voltage: 12kV</t>
        </is>
      </c>
      <c r="G64" s="10" t="inlineStr">
        <is>
          <t>In (A): 630</t>
        </is>
      </c>
      <c r="H64" s="10" t="inlineStr">
        <is>
          <t>Withstand: 20kA 1s</t>
        </is>
      </c>
      <c r="I64" s="10" t="inlineStr">
        <is>
          <t>Extensibility: Non-Extensible</t>
        </is>
      </c>
      <c r="J64" s="10" t="inlineStr">
        <is>
          <t>Ingress: IP54 (Outdoor)</t>
        </is>
      </c>
      <c r="K64" s="10" t="inlineStr">
        <is>
          <t>Metering Panel</t>
        </is>
      </c>
      <c r="L64" s="10" t="inlineStr">
        <is>
          <t>Configured to Order</t>
        </is>
      </c>
      <c r="M64" s="10" t="inlineStr">
        <is>
          <t>AMU-Mt-NE-OUT-12kV</t>
        </is>
      </c>
      <c r="N64" s="11" t="n"/>
      <c r="O64" s="12" t="inlineStr">
        <is>
          <t>Upon request</t>
        </is>
      </c>
      <c r="P64" s="12">
        <f>IF(ISNUMBER(O64),O64*(1-N64),O64)</f>
        <v/>
      </c>
      <c r="Q64" s="10" t="inlineStr">
        <is>
          <t>Aegis Plus AMU</t>
        </is>
      </c>
      <c r="R64" s="10" t="inlineStr">
        <is>
          <t>Dimensions: 725 x 670 x 1440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4" s="10" t="inlineStr">
        <is>
          <t>Aegis Plus Ring Main Units &amp; Utility Tariff Metering</t>
        </is>
      </c>
      <c r="T64" s="9" t="n">
        <v>1</v>
      </c>
      <c r="U64" s="10" t="inlineStr">
        <is>
          <t>Fully type tested to IEC 62271-200; supports conventional CTs &amp; VTs</t>
        </is>
      </c>
      <c r="V64" s="9" t="n">
        <v>36</v>
      </c>
    </row>
    <row r="65" ht="20" customHeight="1">
      <c r="A65" s="5" t="n">
        <v>61</v>
      </c>
      <c r="B65" s="6" t="inlineStr">
        <is>
          <t>Lucy Electric</t>
        </is>
      </c>
      <c r="C65" s="6" t="inlineStr">
        <is>
          <t>Air Metering Unit (AMU)</t>
        </is>
      </c>
      <c r="D65" s="6" t="inlineStr">
        <is>
          <t>Air Metering Unit - Freestanding Tariff Metering (Cable In / Cable Out, Outdoor)</t>
        </is>
      </c>
      <c r="E65" s="6" t="inlineStr">
        <is>
          <t>AMU Mt-NE-OUT 24kV 630A</t>
        </is>
      </c>
      <c r="F65" s="6" t="inlineStr">
        <is>
          <t>Voltage: 24kV</t>
        </is>
      </c>
      <c r="G65" s="6" t="inlineStr">
        <is>
          <t>In (A): 630</t>
        </is>
      </c>
      <c r="H65" s="6" t="inlineStr">
        <is>
          <t>Withstand: 20kA 1s</t>
        </is>
      </c>
      <c r="I65" s="6" t="inlineStr">
        <is>
          <t>Extensibility: Non-Extensible</t>
        </is>
      </c>
      <c r="J65" s="6" t="inlineStr">
        <is>
          <t>Ingress: IP54 (Outdoor)</t>
        </is>
      </c>
      <c r="K65" s="6" t="inlineStr">
        <is>
          <t>Metering Panel</t>
        </is>
      </c>
      <c r="L65" s="6" t="inlineStr">
        <is>
          <t>Configured to Order</t>
        </is>
      </c>
      <c r="M65" s="6" t="inlineStr">
        <is>
          <t>AMU-Mt-NE-OUT-24kV</t>
        </is>
      </c>
      <c r="N65" s="7" t="n"/>
      <c r="O65" s="8" t="inlineStr">
        <is>
          <t>Upon request</t>
        </is>
      </c>
      <c r="P65" s="8">
        <f>IF(ISNUMBER(O65),O65*(1-N65),O65)</f>
        <v/>
      </c>
      <c r="Q65" s="6" t="inlineStr">
        <is>
          <t>Aegis Plus AMU</t>
        </is>
      </c>
      <c r="R65" s="6" t="inlineStr">
        <is>
          <t>Dimensions: 725 x 670 x 1440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5" s="6" t="inlineStr">
        <is>
          <t>Aegis Plus Ring Main Units &amp; Utility Tariff Metering</t>
        </is>
      </c>
      <c r="T65" s="5" t="n">
        <v>1</v>
      </c>
      <c r="U65" s="6" t="inlineStr">
        <is>
          <t>Fully type tested to IEC 62271-200; supports conventional CTs &amp; VTs</t>
        </is>
      </c>
      <c r="V65" s="5" t="n">
        <v>36</v>
      </c>
    </row>
    <row r="66" ht="20" customHeight="1">
      <c r="A66" s="9" t="n">
        <v>62</v>
      </c>
      <c r="B66" s="10" t="inlineStr">
        <is>
          <t>Lucy Electric</t>
        </is>
      </c>
      <c r="C66" s="10" t="inlineStr">
        <is>
          <t>Air Metering Unit (AMU)</t>
        </is>
      </c>
      <c r="D66" s="10" t="inlineStr">
        <is>
          <t>Air Metering Unit - Tariff Metering (Cable In / Cable Out, Extensible)</t>
        </is>
      </c>
      <c r="E66" s="10" t="inlineStr">
        <is>
          <t>AMU Mt-EXT 12kV 630A</t>
        </is>
      </c>
      <c r="F66" s="10" t="inlineStr">
        <is>
          <t>Voltage: 12kV</t>
        </is>
      </c>
      <c r="G66" s="10" t="inlineStr">
        <is>
          <t>In (A): 630</t>
        </is>
      </c>
      <c r="H66" s="10" t="inlineStr">
        <is>
          <t>Withstand: 20kA 1s</t>
        </is>
      </c>
      <c r="I66" s="10" t="inlineStr">
        <is>
          <t>Extensibility: Extensible</t>
        </is>
      </c>
      <c r="J66" s="10" t="inlineStr">
        <is>
          <t>Ingress: IP41 (Indoor)</t>
        </is>
      </c>
      <c r="K66" s="10" t="inlineStr">
        <is>
          <t>Metering Panel</t>
        </is>
      </c>
      <c r="L66" s="10" t="inlineStr">
        <is>
          <t>Configured to Order</t>
        </is>
      </c>
      <c r="M66" s="10" t="inlineStr">
        <is>
          <t>AMU-Mt-EXT-12kV</t>
        </is>
      </c>
      <c r="N66" s="11" t="n"/>
      <c r="O66" s="12" t="inlineStr">
        <is>
          <t>Upon request</t>
        </is>
      </c>
      <c r="P66" s="12">
        <f>IF(ISNUMBER(O66),O66*(1-N66),O66)</f>
        <v/>
      </c>
      <c r="Q66" s="10" t="inlineStr">
        <is>
          <t>Aegis Plus AMU</t>
        </is>
      </c>
      <c r="R66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6" s="10" t="inlineStr">
        <is>
          <t>Aegis Plus Ring Main Units &amp; Utility Tariff Metering</t>
        </is>
      </c>
      <c r="T66" s="9" t="n">
        <v>1</v>
      </c>
      <c r="U66" s="10" t="inlineStr">
        <is>
          <t>Fully type tested to IEC 62271-200; supports conventional CTs &amp; VTs</t>
        </is>
      </c>
      <c r="V66" s="9" t="n">
        <v>36</v>
      </c>
    </row>
    <row r="67" ht="20" customHeight="1">
      <c r="A67" s="5" t="n">
        <v>63</v>
      </c>
      <c r="B67" s="6" t="inlineStr">
        <is>
          <t>Lucy Electric</t>
        </is>
      </c>
      <c r="C67" s="6" t="inlineStr">
        <is>
          <t>Air Metering Unit (AMU)</t>
        </is>
      </c>
      <c r="D67" s="6" t="inlineStr">
        <is>
          <t>Air Metering Unit - Tariff Metering (Cable In / Cable Out, Extensible)</t>
        </is>
      </c>
      <c r="E67" s="6" t="inlineStr">
        <is>
          <t>AMU Mt-EXT 24kV 630A</t>
        </is>
      </c>
      <c r="F67" s="6" t="inlineStr">
        <is>
          <t>Voltage: 24kV</t>
        </is>
      </c>
      <c r="G67" s="6" t="inlineStr">
        <is>
          <t>In (A): 630</t>
        </is>
      </c>
      <c r="H67" s="6" t="inlineStr">
        <is>
          <t>Withstand: 20kA 1s</t>
        </is>
      </c>
      <c r="I67" s="6" t="inlineStr">
        <is>
          <t>Extensibility: Extensible</t>
        </is>
      </c>
      <c r="J67" s="6" t="inlineStr">
        <is>
          <t>Ingress: IP41 (Indoor)</t>
        </is>
      </c>
      <c r="K67" s="6" t="inlineStr">
        <is>
          <t>Metering Panel</t>
        </is>
      </c>
      <c r="L67" s="6" t="inlineStr">
        <is>
          <t>Configured to Order</t>
        </is>
      </c>
      <c r="M67" s="6" t="inlineStr">
        <is>
          <t>AMU-Mt-EXT-24kV</t>
        </is>
      </c>
      <c r="N67" s="7" t="n"/>
      <c r="O67" s="8" t="inlineStr">
        <is>
          <t>Upon request</t>
        </is>
      </c>
      <c r="P67" s="8">
        <f>IF(ISNUMBER(O67),O67*(1-N67),O67)</f>
        <v/>
      </c>
      <c r="Q67" s="6" t="inlineStr">
        <is>
          <t>Aegis Plus AMU</t>
        </is>
      </c>
      <c r="R67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7" s="6" t="inlineStr">
        <is>
          <t>Aegis Plus Ring Main Units &amp; Utility Tariff Metering</t>
        </is>
      </c>
      <c r="T67" s="5" t="n">
        <v>1</v>
      </c>
      <c r="U67" s="6" t="inlineStr">
        <is>
          <t>Fully type tested to IEC 62271-200; supports conventional CTs &amp; VTs</t>
        </is>
      </c>
      <c r="V67" s="5" t="n">
        <v>36</v>
      </c>
    </row>
    <row r="68" ht="20" customHeight="1">
      <c r="A68" s="9" t="n">
        <v>64</v>
      </c>
      <c r="B68" s="10" t="inlineStr">
        <is>
          <t>Lucy Electric</t>
        </is>
      </c>
      <c r="C68" s="10" t="inlineStr">
        <is>
          <t>Air Metering Unit (AMU)</t>
        </is>
      </c>
      <c r="D68" s="10" t="inlineStr">
        <is>
          <t>Air Metering Unit - Busbar Metering (Busbar In / Busbar Out, Double End DE Extensible)</t>
        </is>
      </c>
      <c r="E68" s="10" t="inlineStr">
        <is>
          <t>AMU M1-EXT 12kV 630A</t>
        </is>
      </c>
      <c r="F68" s="10" t="inlineStr">
        <is>
          <t>Voltage: 12kV</t>
        </is>
      </c>
      <c r="G68" s="10" t="inlineStr">
        <is>
          <t>In (A): 630</t>
        </is>
      </c>
      <c r="H68" s="10" t="inlineStr">
        <is>
          <t>Withstand: 20kA 1s</t>
        </is>
      </c>
      <c r="I68" s="10" t="inlineStr">
        <is>
          <t>Extensibility: Double End Extensible</t>
        </is>
      </c>
      <c r="J68" s="10" t="inlineStr">
        <is>
          <t>Ingress: IP41 (Indoor)</t>
        </is>
      </c>
      <c r="K68" s="10" t="inlineStr">
        <is>
          <t>Metering Panel</t>
        </is>
      </c>
      <c r="L68" s="10" t="inlineStr">
        <is>
          <t>Configured to Order</t>
        </is>
      </c>
      <c r="M68" s="10" t="inlineStr">
        <is>
          <t>AMU-M1-EXT-12kV</t>
        </is>
      </c>
      <c r="N68" s="11" t="n"/>
      <c r="O68" s="12" t="inlineStr">
        <is>
          <t>Upon request</t>
        </is>
      </c>
      <c r="P68" s="12">
        <f>IF(ISNUMBER(O68),O68*(1-N68),O68)</f>
        <v/>
      </c>
      <c r="Q68" s="10" t="inlineStr">
        <is>
          <t>Aegis Plus AMU</t>
        </is>
      </c>
      <c r="R68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8" s="10" t="inlineStr">
        <is>
          <t>Aegis Plus Ring Main Units &amp; Utility Tariff Metering</t>
        </is>
      </c>
      <c r="T68" s="9" t="n">
        <v>1</v>
      </c>
      <c r="U68" s="10" t="inlineStr">
        <is>
          <t>Fully type tested to IEC 62271-200; supports conventional CTs &amp; VTs</t>
        </is>
      </c>
      <c r="V68" s="9" t="n">
        <v>37</v>
      </c>
    </row>
    <row r="69" ht="20" customHeight="1">
      <c r="A69" s="5" t="n">
        <v>65</v>
      </c>
      <c r="B69" s="6" t="inlineStr">
        <is>
          <t>Lucy Electric</t>
        </is>
      </c>
      <c r="C69" s="6" t="inlineStr">
        <is>
          <t>Air Metering Unit (AMU)</t>
        </is>
      </c>
      <c r="D69" s="6" t="inlineStr">
        <is>
          <t>Air Metering Unit - Busbar Metering (Busbar In / Busbar Out, Double End DE Extensible)</t>
        </is>
      </c>
      <c r="E69" s="6" t="inlineStr">
        <is>
          <t>AMU M1-EXT 24kV 630A</t>
        </is>
      </c>
      <c r="F69" s="6" t="inlineStr">
        <is>
          <t>Voltage: 24kV</t>
        </is>
      </c>
      <c r="G69" s="6" t="inlineStr">
        <is>
          <t>In (A): 630</t>
        </is>
      </c>
      <c r="H69" s="6" t="inlineStr">
        <is>
          <t>Withstand: 20kA 1s</t>
        </is>
      </c>
      <c r="I69" s="6" t="inlineStr">
        <is>
          <t>Extensibility: Double End Extensible</t>
        </is>
      </c>
      <c r="J69" s="6" t="inlineStr">
        <is>
          <t>Ingress: IP41 (Indoor)</t>
        </is>
      </c>
      <c r="K69" s="6" t="inlineStr">
        <is>
          <t>Metering Panel</t>
        </is>
      </c>
      <c r="L69" s="6" t="inlineStr">
        <is>
          <t>Configured to Order</t>
        </is>
      </c>
      <c r="M69" s="6" t="inlineStr">
        <is>
          <t>AMU-M1-EXT-24kV</t>
        </is>
      </c>
      <c r="N69" s="7" t="n"/>
      <c r="O69" s="8" t="inlineStr">
        <is>
          <t>Upon request</t>
        </is>
      </c>
      <c r="P69" s="8">
        <f>IF(ISNUMBER(O69),O69*(1-N69),O69)</f>
        <v/>
      </c>
      <c r="Q69" s="6" t="inlineStr">
        <is>
          <t>Aegis Plus AMU</t>
        </is>
      </c>
      <c r="R69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69" s="6" t="inlineStr">
        <is>
          <t>Aegis Plus Ring Main Units &amp; Utility Tariff Metering</t>
        </is>
      </c>
      <c r="T69" s="5" t="n">
        <v>1</v>
      </c>
      <c r="U69" s="6" t="inlineStr">
        <is>
          <t>Fully type tested to IEC 62271-200; supports conventional CTs &amp; VTs</t>
        </is>
      </c>
      <c r="V69" s="5" t="n">
        <v>37</v>
      </c>
    </row>
    <row r="70" ht="20" customHeight="1">
      <c r="A70" s="9" t="n">
        <v>66</v>
      </c>
      <c r="B70" s="10" t="inlineStr">
        <is>
          <t>Lucy Electric</t>
        </is>
      </c>
      <c r="C70" s="10" t="inlineStr">
        <is>
          <t>Air Metering Unit (AMU)</t>
        </is>
      </c>
      <c r="D70" s="10" t="inlineStr">
        <is>
          <t>Air Metering Unit - Incomer Metering (Cable In / Busbar Out, Right End RE Extensible)</t>
        </is>
      </c>
      <c r="E70" s="10" t="inlineStr">
        <is>
          <t>AMU M2-EXT 12kV 630A</t>
        </is>
      </c>
      <c r="F70" s="10" t="inlineStr">
        <is>
          <t>Voltage: 12kV</t>
        </is>
      </c>
      <c r="G70" s="10" t="inlineStr">
        <is>
          <t>In (A): 630</t>
        </is>
      </c>
      <c r="H70" s="10" t="inlineStr">
        <is>
          <t>Withstand: 20kA 1s</t>
        </is>
      </c>
      <c r="I70" s="10" t="inlineStr">
        <is>
          <t>Extensibility: Right End Extensible</t>
        </is>
      </c>
      <c r="J70" s="10" t="inlineStr">
        <is>
          <t>Ingress: IP41 (Indoor)</t>
        </is>
      </c>
      <c r="K70" s="10" t="inlineStr">
        <is>
          <t>Metering Panel</t>
        </is>
      </c>
      <c r="L70" s="10" t="inlineStr">
        <is>
          <t>Configured to Order</t>
        </is>
      </c>
      <c r="M70" s="10" t="inlineStr">
        <is>
          <t>AMU-M2-EXT-12kV</t>
        </is>
      </c>
      <c r="N70" s="11" t="n"/>
      <c r="O70" s="12" t="inlineStr">
        <is>
          <t>Upon request</t>
        </is>
      </c>
      <c r="P70" s="12">
        <f>IF(ISNUMBER(O70),O70*(1-N70),O70)</f>
        <v/>
      </c>
      <c r="Q70" s="10" t="inlineStr">
        <is>
          <t>Aegis Plus AMU</t>
        </is>
      </c>
      <c r="R70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70" s="10" t="inlineStr">
        <is>
          <t>Aegis Plus Ring Main Units &amp; Utility Tariff Metering</t>
        </is>
      </c>
      <c r="T70" s="9" t="n">
        <v>1</v>
      </c>
      <c r="U70" s="10" t="inlineStr">
        <is>
          <t>Fully type tested to IEC 62271-200; supports conventional CTs &amp; VTs</t>
        </is>
      </c>
      <c r="V70" s="9" t="n">
        <v>37</v>
      </c>
    </row>
    <row r="71" ht="20" customHeight="1">
      <c r="A71" s="5" t="n">
        <v>67</v>
      </c>
      <c r="B71" s="6" t="inlineStr">
        <is>
          <t>Lucy Electric</t>
        </is>
      </c>
      <c r="C71" s="6" t="inlineStr">
        <is>
          <t>Air Metering Unit (AMU)</t>
        </is>
      </c>
      <c r="D71" s="6" t="inlineStr">
        <is>
          <t>Air Metering Unit - Incomer Metering (Cable In / Busbar Out, Right End RE Extensible)</t>
        </is>
      </c>
      <c r="E71" s="6" t="inlineStr">
        <is>
          <t>AMU M2-EXT 24kV 630A</t>
        </is>
      </c>
      <c r="F71" s="6" t="inlineStr">
        <is>
          <t>Voltage: 24kV</t>
        </is>
      </c>
      <c r="G71" s="6" t="inlineStr">
        <is>
          <t>In (A): 630</t>
        </is>
      </c>
      <c r="H71" s="6" t="inlineStr">
        <is>
          <t>Withstand: 20kA 1s</t>
        </is>
      </c>
      <c r="I71" s="6" t="inlineStr">
        <is>
          <t>Extensibility: Right End Extensible</t>
        </is>
      </c>
      <c r="J71" s="6" t="inlineStr">
        <is>
          <t>Ingress: IP41 (Indoor)</t>
        </is>
      </c>
      <c r="K71" s="6" t="inlineStr">
        <is>
          <t>Metering Panel</t>
        </is>
      </c>
      <c r="L71" s="6" t="inlineStr">
        <is>
          <t>Configured to Order</t>
        </is>
      </c>
      <c r="M71" s="6" t="inlineStr">
        <is>
          <t>AMU-M2-EXT-24kV</t>
        </is>
      </c>
      <c r="N71" s="7" t="n"/>
      <c r="O71" s="8" t="inlineStr">
        <is>
          <t>Upon request</t>
        </is>
      </c>
      <c r="P71" s="8">
        <f>IF(ISNUMBER(O71),O71*(1-N71),O71)</f>
        <v/>
      </c>
      <c r="Q71" s="6" t="inlineStr">
        <is>
          <t>Aegis Plus AMU</t>
        </is>
      </c>
      <c r="R71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71" s="6" t="inlineStr">
        <is>
          <t>Aegis Plus Ring Main Units &amp; Utility Tariff Metering</t>
        </is>
      </c>
      <c r="T71" s="5" t="n">
        <v>1</v>
      </c>
      <c r="U71" s="6" t="inlineStr">
        <is>
          <t>Fully type tested to IEC 62271-200; supports conventional CTs &amp; VTs</t>
        </is>
      </c>
      <c r="V71" s="5" t="n">
        <v>37</v>
      </c>
    </row>
    <row r="72" ht="20" customHeight="1">
      <c r="A72" s="9" t="n">
        <v>68</v>
      </c>
      <c r="B72" s="10" t="inlineStr">
        <is>
          <t>Lucy Electric</t>
        </is>
      </c>
      <c r="C72" s="10" t="inlineStr">
        <is>
          <t>Air Metering Unit (AMU)</t>
        </is>
      </c>
      <c r="D72" s="10" t="inlineStr">
        <is>
          <t>Air Metering Unit - Outgoing Metering (Busbar In / Cable Out, Left End LE Extensible)</t>
        </is>
      </c>
      <c r="E72" s="10" t="inlineStr">
        <is>
          <t>AMU M3-EXT 12kV 630A</t>
        </is>
      </c>
      <c r="F72" s="10" t="inlineStr">
        <is>
          <t>Voltage: 12kV</t>
        </is>
      </c>
      <c r="G72" s="10" t="inlineStr">
        <is>
          <t>In (A): 630</t>
        </is>
      </c>
      <c r="H72" s="10" t="inlineStr">
        <is>
          <t>Withstand: 20kA 1s</t>
        </is>
      </c>
      <c r="I72" s="10" t="inlineStr">
        <is>
          <t>Extensibility: Left End Extensible</t>
        </is>
      </c>
      <c r="J72" s="10" t="inlineStr">
        <is>
          <t>Ingress: IP41 (Indoor)</t>
        </is>
      </c>
      <c r="K72" s="10" t="inlineStr">
        <is>
          <t>Metering Panel</t>
        </is>
      </c>
      <c r="L72" s="10" t="inlineStr">
        <is>
          <t>Configured to Order</t>
        </is>
      </c>
      <c r="M72" s="10" t="inlineStr">
        <is>
          <t>AMU-M3-EXT-12kV</t>
        </is>
      </c>
      <c r="N72" s="11" t="n"/>
      <c r="O72" s="12" t="inlineStr">
        <is>
          <t>Upon request</t>
        </is>
      </c>
      <c r="P72" s="12">
        <f>IF(ISNUMBER(O72),O72*(1-N72),O72)</f>
        <v/>
      </c>
      <c r="Q72" s="10" t="inlineStr">
        <is>
          <t>Aegis Plus AMU</t>
        </is>
      </c>
      <c r="R72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72" s="10" t="inlineStr">
        <is>
          <t>Aegis Plus Ring Main Units &amp; Utility Tariff Metering</t>
        </is>
      </c>
      <c r="T72" s="9" t="n">
        <v>1</v>
      </c>
      <c r="U72" s="10" t="inlineStr">
        <is>
          <t>Fully type tested to IEC 62271-200; supports conventional CTs &amp; VTs</t>
        </is>
      </c>
      <c r="V72" s="9" t="n">
        <v>37</v>
      </c>
    </row>
    <row r="73" ht="20" customHeight="1">
      <c r="A73" s="5" t="n">
        <v>69</v>
      </c>
      <c r="B73" s="6" t="inlineStr">
        <is>
          <t>Lucy Electric</t>
        </is>
      </c>
      <c r="C73" s="6" t="inlineStr">
        <is>
          <t>Air Metering Unit (AMU)</t>
        </is>
      </c>
      <c r="D73" s="6" t="inlineStr">
        <is>
          <t>Air Metering Unit - Outgoing Metering (Busbar In / Cable Out, Left End LE Extensible)</t>
        </is>
      </c>
      <c r="E73" s="6" t="inlineStr">
        <is>
          <t>AMU M3-EXT 24kV 630A</t>
        </is>
      </c>
      <c r="F73" s="6" t="inlineStr">
        <is>
          <t>Voltage: 24kV</t>
        </is>
      </c>
      <c r="G73" s="6" t="inlineStr">
        <is>
          <t>In (A): 630</t>
        </is>
      </c>
      <c r="H73" s="6" t="inlineStr">
        <is>
          <t>Withstand: 20kA 1s</t>
        </is>
      </c>
      <c r="I73" s="6" t="inlineStr">
        <is>
          <t>Extensibility: Left End Extensible</t>
        </is>
      </c>
      <c r="J73" s="6" t="inlineStr">
        <is>
          <t>Ingress: IP41 (Indoor)</t>
        </is>
      </c>
      <c r="K73" s="6" t="inlineStr">
        <is>
          <t>Metering Panel</t>
        </is>
      </c>
      <c r="L73" s="6" t="inlineStr">
        <is>
          <t>Configured to Order</t>
        </is>
      </c>
      <c r="M73" s="6" t="inlineStr">
        <is>
          <t>AMU-M3-EXT-24kV</t>
        </is>
      </c>
      <c r="N73" s="7" t="n"/>
      <c r="O73" s="8" t="inlineStr">
        <is>
          <t>Upon request</t>
        </is>
      </c>
      <c r="P73" s="8">
        <f>IF(ISNUMBER(O73),O73*(1-N73),O73)</f>
        <v/>
      </c>
      <c r="Q73" s="6" t="inlineStr">
        <is>
          <t>Aegis Plus AMU</t>
        </is>
      </c>
      <c r="R73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S73" s="6" t="inlineStr">
        <is>
          <t>Aegis Plus Ring Main Units &amp; Utility Tariff Metering</t>
        </is>
      </c>
      <c r="T73" s="5" t="n">
        <v>1</v>
      </c>
      <c r="U73" s="6" t="inlineStr">
        <is>
          <t>Fully type tested to IEC 62271-200; supports conventional CTs &amp; VTs</t>
        </is>
      </c>
      <c r="V73" s="5" t="n">
        <v>37</v>
      </c>
    </row>
    <row r="74" ht="20" customHeight="1">
      <c r="A74" s="9" t="n">
        <v>70</v>
      </c>
      <c r="B74" s="10" t="inlineStr">
        <is>
          <t>Lucy Electric</t>
        </is>
      </c>
      <c r="C74" s="10" t="inlineStr">
        <is>
          <t>Instrument Transformers (CT/VT)</t>
        </is>
      </c>
      <c r="D74" s="10" t="inlineStr">
        <is>
          <t>Voltage Transformer 3-Phase 11000/110V (Narrow type DIN 42600)</t>
        </is>
      </c>
      <c r="E74" s="10" t="inlineStr">
        <is>
          <t>VT 11000/110V Class 0.5</t>
        </is>
      </c>
      <c r="F74" s="10" t="inlineStr">
        <is>
          <t>Ratio: 11000/110V</t>
        </is>
      </c>
      <c r="G74" s="10" t="inlineStr">
        <is>
          <t>Burden: 10/50/100VA</t>
        </is>
      </c>
      <c r="H74" s="10" t="inlineStr">
        <is>
          <t>Accuracy: Class 0.5</t>
        </is>
      </c>
      <c r="I74" s="10" t="inlineStr">
        <is>
          <t>Configuration: 1x 3ph</t>
        </is>
      </c>
      <c r="J74" s="10" t="inlineStr">
        <is>
          <t>Standard: DIN 42600</t>
        </is>
      </c>
      <c r="K74" s="10" t="inlineStr">
        <is>
          <t>Instrument Transformer</t>
        </is>
      </c>
      <c r="L74" s="10" t="inlineStr">
        <is>
          <t>Standard Stock</t>
        </is>
      </c>
      <c r="M74" s="10" t="inlineStr">
        <is>
          <t>VT-3P-11K-05</t>
        </is>
      </c>
      <c r="N74" s="11" t="n"/>
      <c r="O74" s="12" t="inlineStr">
        <is>
          <t>Upon request</t>
        </is>
      </c>
      <c r="P74" s="12">
        <f>IF(ISNUMBER(O74),O74*(1-N74),O74)</f>
        <v/>
      </c>
      <c r="Q74" s="10" t="inlineStr">
        <is>
          <t>AMU VTs</t>
        </is>
      </c>
      <c r="R74" s="10" t="inlineStr">
        <is>
          <t>DIN 42600 narrow type standard; Epoxy resin cast; Primary voltage: 11kV / 22kV; Secondary voltage: 110V; Burden: 10/50/100VA; Class: Class 0.5</t>
        </is>
      </c>
      <c r="S74" s="10" t="inlineStr">
        <is>
          <t>Aegis Plus Air Metering Units (Mt, M1, M2, M3)</t>
        </is>
      </c>
      <c r="T74" s="9" t="n">
        <v>1</v>
      </c>
      <c r="U74" s="10" t="inlineStr">
        <is>
          <t>Narrow profile for direct busbar/cable connection inside AMU</t>
        </is>
      </c>
      <c r="V74" s="9" t="n">
        <v>37</v>
      </c>
    </row>
    <row r="75" ht="20" customHeight="1">
      <c r="A75" s="5" t="n">
        <v>71</v>
      </c>
      <c r="B75" s="6" t="inlineStr">
        <is>
          <t>Lucy Electric</t>
        </is>
      </c>
      <c r="C75" s="6" t="inlineStr">
        <is>
          <t>Instrument Transformers (CT/VT)</t>
        </is>
      </c>
      <c r="D75" s="6" t="inlineStr">
        <is>
          <t>Voltage Transformer 3-Phase 11000/110V High Precision (DIN 42600)</t>
        </is>
      </c>
      <c r="E75" s="6" t="inlineStr">
        <is>
          <t>VT 11000/110V Class 0.2</t>
        </is>
      </c>
      <c r="F75" s="6" t="inlineStr">
        <is>
          <t>Ratio: 11000/110V</t>
        </is>
      </c>
      <c r="G75" s="6" t="inlineStr">
        <is>
          <t>Burden: 50VA</t>
        </is>
      </c>
      <c r="H75" s="6" t="inlineStr">
        <is>
          <t>Accuracy: Class 0.2</t>
        </is>
      </c>
      <c r="I75" s="6" t="inlineStr">
        <is>
          <t>Configuration: 1x 3ph</t>
        </is>
      </c>
      <c r="J75" s="6" t="inlineStr">
        <is>
          <t>Standard: DIN 42600</t>
        </is>
      </c>
      <c r="K75" s="6" t="inlineStr">
        <is>
          <t>Instrument Transformer</t>
        </is>
      </c>
      <c r="L75" s="6" t="inlineStr">
        <is>
          <t>Standard Stock</t>
        </is>
      </c>
      <c r="M75" s="6" t="inlineStr">
        <is>
          <t>VT-3P-11K-02</t>
        </is>
      </c>
      <c r="N75" s="7" t="n"/>
      <c r="O75" s="8" t="inlineStr">
        <is>
          <t>Upon request</t>
        </is>
      </c>
      <c r="P75" s="8">
        <f>IF(ISNUMBER(O75),O75*(1-N75),O75)</f>
        <v/>
      </c>
      <c r="Q75" s="6" t="inlineStr">
        <is>
          <t>AMU VTs</t>
        </is>
      </c>
      <c r="R75" s="6" t="inlineStr">
        <is>
          <t>DIN 42600 narrow type standard; Epoxy resin cast; Primary voltage: 11kV / 22kV; Secondary voltage: 110V; Burden: 50VA; Class: Class 0.2</t>
        </is>
      </c>
      <c r="S75" s="6" t="inlineStr">
        <is>
          <t>Aegis Plus Air Metering Units (Mt, M1, M2, M3)</t>
        </is>
      </c>
      <c r="T75" s="5" t="n">
        <v>1</v>
      </c>
      <c r="U75" s="6" t="inlineStr">
        <is>
          <t>Narrow profile for direct busbar/cable connection inside AMU</t>
        </is>
      </c>
      <c r="V75" s="5" t="n">
        <v>37</v>
      </c>
    </row>
    <row r="76" ht="20" customHeight="1">
      <c r="A76" s="9" t="n">
        <v>72</v>
      </c>
      <c r="B76" s="10" t="inlineStr">
        <is>
          <t>Lucy Electric</t>
        </is>
      </c>
      <c r="C76" s="10" t="inlineStr">
        <is>
          <t>Instrument Transformers (CT/VT)</t>
        </is>
      </c>
      <c r="D76" s="10" t="inlineStr">
        <is>
          <t>Voltage Transformer 3-Phase 11000/110V Industrial (DIN 42600)</t>
        </is>
      </c>
      <c r="E76" s="10" t="inlineStr">
        <is>
          <t>VT 11000/110V Class 1.0</t>
        </is>
      </c>
      <c r="F76" s="10" t="inlineStr">
        <is>
          <t>Ratio: 11000/110V</t>
        </is>
      </c>
      <c r="G76" s="10" t="inlineStr">
        <is>
          <t>Burden: 100VA</t>
        </is>
      </c>
      <c r="H76" s="10" t="inlineStr">
        <is>
          <t>Accuracy: Class 1.0</t>
        </is>
      </c>
      <c r="I76" s="10" t="inlineStr">
        <is>
          <t>Configuration: 1x 3ph</t>
        </is>
      </c>
      <c r="J76" s="10" t="inlineStr">
        <is>
          <t>Standard: DIN 42600</t>
        </is>
      </c>
      <c r="K76" s="10" t="inlineStr">
        <is>
          <t>Instrument Transformer</t>
        </is>
      </c>
      <c r="L76" s="10" t="inlineStr">
        <is>
          <t>Standard Stock</t>
        </is>
      </c>
      <c r="M76" s="10" t="inlineStr">
        <is>
          <t>VT-3P-11K-10</t>
        </is>
      </c>
      <c r="N76" s="11" t="n"/>
      <c r="O76" s="12" t="inlineStr">
        <is>
          <t>Upon request</t>
        </is>
      </c>
      <c r="P76" s="12">
        <f>IF(ISNUMBER(O76),O76*(1-N76),O76)</f>
        <v/>
      </c>
      <c r="Q76" s="10" t="inlineStr">
        <is>
          <t>AMU VTs</t>
        </is>
      </c>
      <c r="R76" s="10" t="inlineStr">
        <is>
          <t>DIN 42600 narrow type standard; Epoxy resin cast; Primary voltage: 11kV / 22kV; Secondary voltage: 110V; Burden: 100VA; Class: Class 1.0</t>
        </is>
      </c>
      <c r="S76" s="10" t="inlineStr">
        <is>
          <t>Aegis Plus Air Metering Units (Mt, M1, M2, M3)</t>
        </is>
      </c>
      <c r="T76" s="9" t="n">
        <v>1</v>
      </c>
      <c r="U76" s="10" t="inlineStr">
        <is>
          <t>Narrow profile for direct busbar/cable connection inside AMU</t>
        </is>
      </c>
      <c r="V76" s="9" t="n">
        <v>37</v>
      </c>
    </row>
    <row r="77" ht="20" customHeight="1">
      <c r="A77" s="5" t="n">
        <v>73</v>
      </c>
      <c r="B77" s="6" t="inlineStr">
        <is>
          <t>Lucy Electric</t>
        </is>
      </c>
      <c r="C77" s="6" t="inlineStr">
        <is>
          <t>Instrument Transformers (CT/VT)</t>
        </is>
      </c>
      <c r="D77" s="6" t="inlineStr">
        <is>
          <t>Voltage Transformer 3-Phase 22000/110V (Narrow type DIN 42600)</t>
        </is>
      </c>
      <c r="E77" s="6" t="inlineStr">
        <is>
          <t>VT 22000/110V Class 0.5</t>
        </is>
      </c>
      <c r="F77" s="6" t="inlineStr">
        <is>
          <t>Ratio: 22000/110V</t>
        </is>
      </c>
      <c r="G77" s="6" t="inlineStr">
        <is>
          <t>Burden: 50/60VA</t>
        </is>
      </c>
      <c r="H77" s="6" t="inlineStr">
        <is>
          <t>Accuracy: Class 0.5</t>
        </is>
      </c>
      <c r="I77" s="6" t="inlineStr">
        <is>
          <t>Configuration: 1x 3ph</t>
        </is>
      </c>
      <c r="J77" s="6" t="inlineStr">
        <is>
          <t>Standard: DIN 42600</t>
        </is>
      </c>
      <c r="K77" s="6" t="inlineStr">
        <is>
          <t>Instrument Transformer</t>
        </is>
      </c>
      <c r="L77" s="6" t="inlineStr">
        <is>
          <t>Standard Stock</t>
        </is>
      </c>
      <c r="M77" s="6" t="inlineStr">
        <is>
          <t>VT-3P-22K-05</t>
        </is>
      </c>
      <c r="N77" s="7" t="n"/>
      <c r="O77" s="8" t="inlineStr">
        <is>
          <t>Upon request</t>
        </is>
      </c>
      <c r="P77" s="8">
        <f>IF(ISNUMBER(O77),O77*(1-N77),O77)</f>
        <v/>
      </c>
      <c r="Q77" s="6" t="inlineStr">
        <is>
          <t>AMU VTs</t>
        </is>
      </c>
      <c r="R77" s="6" t="inlineStr">
        <is>
          <t>DIN 42600 narrow type standard; Epoxy resin cast; Primary voltage: 11kV / 22kV; Secondary voltage: 110V; Burden: 50/60VA; Class: Class 0.5</t>
        </is>
      </c>
      <c r="S77" s="6" t="inlineStr">
        <is>
          <t>Aegis Plus Air Metering Units (Mt, M1, M2, M3)</t>
        </is>
      </c>
      <c r="T77" s="5" t="n">
        <v>1</v>
      </c>
      <c r="U77" s="6" t="inlineStr">
        <is>
          <t>Narrow profile for direct busbar/cable connection inside AMU</t>
        </is>
      </c>
      <c r="V77" s="5" t="n">
        <v>37</v>
      </c>
    </row>
    <row r="78" ht="20" customHeight="1">
      <c r="A78" s="9" t="n">
        <v>74</v>
      </c>
      <c r="B78" s="10" t="inlineStr">
        <is>
          <t>Lucy Electric</t>
        </is>
      </c>
      <c r="C78" s="10" t="inlineStr">
        <is>
          <t>Instrument Transformers (CT/VT)</t>
        </is>
      </c>
      <c r="D78" s="10" t="inlineStr">
        <is>
          <t>Voltage Transformer Single-Phase 11000/110V Set of 3 (DIN 42600)</t>
        </is>
      </c>
      <c r="E78" s="10" t="inlineStr">
        <is>
          <t>VT 11000/110V Class 0.5</t>
        </is>
      </c>
      <c r="F78" s="10" t="inlineStr">
        <is>
          <t>Ratio: 11000/110V</t>
        </is>
      </c>
      <c r="G78" s="10" t="inlineStr">
        <is>
          <t>Burden: 50VA</t>
        </is>
      </c>
      <c r="H78" s="10" t="inlineStr">
        <is>
          <t>Accuracy: Class 0.5</t>
        </is>
      </c>
      <c r="I78" s="10" t="inlineStr">
        <is>
          <t>Configuration: 3x 1ph</t>
        </is>
      </c>
      <c r="J78" s="10" t="inlineStr">
        <is>
          <t>Standard: DIN 42600</t>
        </is>
      </c>
      <c r="K78" s="10" t="inlineStr">
        <is>
          <t>Instrument Transformer</t>
        </is>
      </c>
      <c r="L78" s="10" t="inlineStr">
        <is>
          <t>Standard Stock</t>
        </is>
      </c>
      <c r="M78" s="10" t="inlineStr">
        <is>
          <t>VT-1P-11K-05</t>
        </is>
      </c>
      <c r="N78" s="11" t="n"/>
      <c r="O78" s="12" t="inlineStr">
        <is>
          <t>Upon request</t>
        </is>
      </c>
      <c r="P78" s="12">
        <f>IF(ISNUMBER(O78),O78*(1-N78),O78)</f>
        <v/>
      </c>
      <c r="Q78" s="10" t="inlineStr">
        <is>
          <t>AMU VTs</t>
        </is>
      </c>
      <c r="R78" s="10" t="inlineStr">
        <is>
          <t>DIN 42600 narrow type standard; Epoxy resin cast; Primary voltage: 11kV / 22kV; Secondary voltage: 110V; Burden: 50VA; Class: Class 0.5</t>
        </is>
      </c>
      <c r="S78" s="10" t="inlineStr">
        <is>
          <t>Aegis Plus Air Metering Units (Mt, M1, M2, M3)</t>
        </is>
      </c>
      <c r="T78" s="9" t="n">
        <v>3</v>
      </c>
      <c r="U78" s="10" t="inlineStr">
        <is>
          <t>Narrow profile for direct busbar/cable connection inside AMU</t>
        </is>
      </c>
      <c r="V78" s="9" t="n">
        <v>37</v>
      </c>
    </row>
    <row r="79" ht="20" customHeight="1">
      <c r="A79" s="5" t="n">
        <v>75</v>
      </c>
      <c r="B79" s="6" t="inlineStr">
        <is>
          <t>Lucy Electric</t>
        </is>
      </c>
      <c r="C79" s="6" t="inlineStr">
        <is>
          <t>Instrument Transformers (CT/VT)</t>
        </is>
      </c>
      <c r="D79" s="6" t="inlineStr">
        <is>
          <t>Voltage Transformer Single-Phase 22000/110V Set of 3 (DIN 42600)</t>
        </is>
      </c>
      <c r="E79" s="6" t="inlineStr">
        <is>
          <t>VT 22000/110V Class 0.5</t>
        </is>
      </c>
      <c r="F79" s="6" t="inlineStr">
        <is>
          <t>Ratio: 22000/110V</t>
        </is>
      </c>
      <c r="G79" s="6" t="inlineStr">
        <is>
          <t>Burden: 50VA</t>
        </is>
      </c>
      <c r="H79" s="6" t="inlineStr">
        <is>
          <t>Accuracy: Class 0.5</t>
        </is>
      </c>
      <c r="I79" s="6" t="inlineStr">
        <is>
          <t>Configuration: 3x 1ph</t>
        </is>
      </c>
      <c r="J79" s="6" t="inlineStr">
        <is>
          <t>Standard: DIN 42600</t>
        </is>
      </c>
      <c r="K79" s="6" t="inlineStr">
        <is>
          <t>Instrument Transformer</t>
        </is>
      </c>
      <c r="L79" s="6" t="inlineStr">
        <is>
          <t>Standard Stock</t>
        </is>
      </c>
      <c r="M79" s="6" t="inlineStr">
        <is>
          <t>VT-1P-22K-05</t>
        </is>
      </c>
      <c r="N79" s="7" t="n"/>
      <c r="O79" s="8" t="inlineStr">
        <is>
          <t>Upon request</t>
        </is>
      </c>
      <c r="P79" s="8">
        <f>IF(ISNUMBER(O79),O79*(1-N79),O79)</f>
        <v/>
      </c>
      <c r="Q79" s="6" t="inlineStr">
        <is>
          <t>AMU VTs</t>
        </is>
      </c>
      <c r="R79" s="6" t="inlineStr">
        <is>
          <t>DIN 42600 narrow type standard; Epoxy resin cast; Primary voltage: 11kV / 22kV; Secondary voltage: 110V; Burden: 50VA; Class: Class 0.5</t>
        </is>
      </c>
      <c r="S79" s="6" t="inlineStr">
        <is>
          <t>Aegis Plus Air Metering Units (Mt, M1, M2, M3)</t>
        </is>
      </c>
      <c r="T79" s="5" t="n">
        <v>3</v>
      </c>
      <c r="U79" s="6" t="inlineStr">
        <is>
          <t>Narrow profile for direct busbar/cable connection inside AMU</t>
        </is>
      </c>
      <c r="V79" s="5" t="n">
        <v>37</v>
      </c>
    </row>
    <row r="80" ht="20" customHeight="1">
      <c r="A80" s="9" t="n">
        <v>76</v>
      </c>
      <c r="B80" s="10" t="inlineStr">
        <is>
          <t>Lucy Electric</t>
        </is>
      </c>
      <c r="C80" s="10" t="inlineStr">
        <is>
          <t>Instrument Transformers (CT/VT)</t>
        </is>
      </c>
      <c r="D80" s="10" t="inlineStr">
        <is>
          <t>Voltage Transformer Single-Phase 11000/110V High Accuracy Set of 3</t>
        </is>
      </c>
      <c r="E80" s="10" t="inlineStr">
        <is>
          <t>VT 11000/110V Class 0.2</t>
        </is>
      </c>
      <c r="F80" s="10" t="inlineStr">
        <is>
          <t>Ratio: 11000/110V</t>
        </is>
      </c>
      <c r="G80" s="10" t="inlineStr">
        <is>
          <t>Burden: 30/50VA</t>
        </is>
      </c>
      <c r="H80" s="10" t="inlineStr">
        <is>
          <t>Accuracy: Class 0.2</t>
        </is>
      </c>
      <c r="I80" s="10" t="inlineStr">
        <is>
          <t>Configuration: 3x 1ph</t>
        </is>
      </c>
      <c r="J80" s="10" t="inlineStr">
        <is>
          <t>Standard: DIN 42600</t>
        </is>
      </c>
      <c r="K80" s="10" t="inlineStr">
        <is>
          <t>Instrument Transformer</t>
        </is>
      </c>
      <c r="L80" s="10" t="inlineStr">
        <is>
          <t>Standard Stock</t>
        </is>
      </c>
      <c r="M80" s="10" t="inlineStr">
        <is>
          <t>VT-1P-11K-02</t>
        </is>
      </c>
      <c r="N80" s="11" t="n"/>
      <c r="O80" s="12" t="inlineStr">
        <is>
          <t>Upon request</t>
        </is>
      </c>
      <c r="P80" s="12">
        <f>IF(ISNUMBER(O80),O80*(1-N80),O80)</f>
        <v/>
      </c>
      <c r="Q80" s="10" t="inlineStr">
        <is>
          <t>AMU VTs</t>
        </is>
      </c>
      <c r="R80" s="10" t="inlineStr">
        <is>
          <t>DIN 42600 narrow type standard; Epoxy resin cast; Primary voltage: 11kV / 22kV; Secondary voltage: 110V; Burden: 30/50VA; Class: Class 0.2</t>
        </is>
      </c>
      <c r="S80" s="10" t="inlineStr">
        <is>
          <t>Aegis Plus Air Metering Units (Mt, M1, M2, M3)</t>
        </is>
      </c>
      <c r="T80" s="9" t="n">
        <v>3</v>
      </c>
      <c r="U80" s="10" t="inlineStr">
        <is>
          <t>Narrow profile for direct busbar/cable connection inside AMU</t>
        </is>
      </c>
      <c r="V80" s="9" t="n">
        <v>37</v>
      </c>
    </row>
    <row r="81" ht="20" customHeight="1">
      <c r="A81" s="5" t="n">
        <v>77</v>
      </c>
      <c r="B81" s="6" t="inlineStr">
        <is>
          <t>Lucy Electric</t>
        </is>
      </c>
      <c r="C81" s="6" t="inlineStr">
        <is>
          <t>Instrument Transformers (CT/VT)</t>
        </is>
      </c>
      <c r="D81" s="6" t="inlineStr">
        <is>
          <t>Voltage Transformer Single-Phase 11000/110V Industrial Set of 3</t>
        </is>
      </c>
      <c r="E81" s="6" t="inlineStr">
        <is>
          <t>VT 11000/110V Class 1.0</t>
        </is>
      </c>
      <c r="F81" s="6" t="inlineStr">
        <is>
          <t>Ratio: 11000/110V</t>
        </is>
      </c>
      <c r="G81" s="6" t="inlineStr">
        <is>
          <t>Burden: 50VA</t>
        </is>
      </c>
      <c r="H81" s="6" t="inlineStr">
        <is>
          <t>Accuracy: Class 1.0</t>
        </is>
      </c>
      <c r="I81" s="6" t="inlineStr">
        <is>
          <t>Configuration: 3x 1ph</t>
        </is>
      </c>
      <c r="J81" s="6" t="inlineStr">
        <is>
          <t>Standard: DIN 42600</t>
        </is>
      </c>
      <c r="K81" s="6" t="inlineStr">
        <is>
          <t>Instrument Transformer</t>
        </is>
      </c>
      <c r="L81" s="6" t="inlineStr">
        <is>
          <t>Standard Stock</t>
        </is>
      </c>
      <c r="M81" s="6" t="inlineStr">
        <is>
          <t>VT-1P-11K-10</t>
        </is>
      </c>
      <c r="N81" s="7" t="n"/>
      <c r="O81" s="8" t="inlineStr">
        <is>
          <t>Upon request</t>
        </is>
      </c>
      <c r="P81" s="8">
        <f>IF(ISNUMBER(O81),O81*(1-N81),O81)</f>
        <v/>
      </c>
      <c r="Q81" s="6" t="inlineStr">
        <is>
          <t>AMU VTs</t>
        </is>
      </c>
      <c r="R81" s="6" t="inlineStr">
        <is>
          <t>DIN 42600 narrow type standard; Epoxy resin cast; Primary voltage: 11kV / 22kV; Secondary voltage: 110V; Burden: 50VA; Class: Class 1.0</t>
        </is>
      </c>
      <c r="S81" s="6" t="inlineStr">
        <is>
          <t>Aegis Plus Air Metering Units (Mt, M1, M2, M3)</t>
        </is>
      </c>
      <c r="T81" s="5" t="n">
        <v>3</v>
      </c>
      <c r="U81" s="6" t="inlineStr">
        <is>
          <t>Narrow profile for direct busbar/cable connection inside AMU</t>
        </is>
      </c>
      <c r="V81" s="5" t="n">
        <v>37</v>
      </c>
    </row>
    <row r="82" ht="20" customHeight="1">
      <c r="A82" s="9" t="n">
        <v>78</v>
      </c>
      <c r="B82" s="10" t="inlineStr">
        <is>
          <t>Lucy Electric</t>
        </is>
      </c>
      <c r="C82" s="10" t="inlineStr">
        <is>
          <t>Instrument Transformers (CT/VT)</t>
        </is>
      </c>
      <c r="D82" s="10" t="inlineStr">
        <is>
          <t>Current Transformer 50-25/1A Dual Ratio for AMU Metering</t>
        </is>
      </c>
      <c r="E82" s="10" t="inlineStr">
        <is>
          <t>CT 50-25/1A Class 0.2/0.5</t>
        </is>
      </c>
      <c r="F82" s="10" t="inlineStr">
        <is>
          <t>Ratio: 50-25/1A</t>
        </is>
      </c>
      <c r="G82" s="10" t="inlineStr">
        <is>
          <t>Burden: 10VA</t>
        </is>
      </c>
      <c r="H82" s="10" t="inlineStr">
        <is>
          <t>Accuracy: Class 0.2/0.5</t>
        </is>
      </c>
      <c r="I82" s="10" t="inlineStr">
        <is>
          <t>Mounting: Bushing / Busbar Mounted</t>
        </is>
      </c>
      <c r="J82" s="10" t="inlineStr">
        <is>
          <t>Quantity: Set of 3</t>
        </is>
      </c>
      <c r="K82" s="10" t="inlineStr">
        <is>
          <t>Instrument Transformer</t>
        </is>
      </c>
      <c r="L82" s="10" t="inlineStr">
        <is>
          <t>Standard Stock</t>
        </is>
      </c>
      <c r="M82" s="10" t="inlineStr">
        <is>
          <t>CT-AMU-50-25-1A</t>
        </is>
      </c>
      <c r="N82" s="11" t="n"/>
      <c r="O82" s="12" t="inlineStr">
        <is>
          <t>Upon request</t>
        </is>
      </c>
      <c r="P82" s="12">
        <f>IF(ISNUMBER(O82),O82*(1-N82),O82)</f>
        <v/>
      </c>
      <c r="Q82" s="10" t="inlineStr">
        <is>
          <t>Protection &amp; Metering CTs</t>
        </is>
      </c>
      <c r="R82" s="10" t="inlineStr">
        <is>
          <t>Ring type cast resin CT; Ratio: 50-25/1A; Burden: 10VA; Class: Class 0.2/0.5; Suitable for tariff metering or circuit breaker protection relay / TLF</t>
        </is>
      </c>
      <c r="S82" s="10" t="inlineStr">
        <is>
          <t>Aegis Plus VCB (V, T, C modules) &amp; Air Metering Unit</t>
        </is>
      </c>
      <c r="T82" s="9" t="inlineStr">
        <is>
          <t>3 pcs/set</t>
        </is>
      </c>
      <c r="U82" s="10" t="inlineStr">
        <is>
          <t>Conforms to IEC 61869-2; multi-ratio taps available</t>
        </is>
      </c>
      <c r="V82" s="9" t="n">
        <v>37</v>
      </c>
    </row>
    <row r="83" ht="20" customHeight="1">
      <c r="A83" s="5" t="n">
        <v>79</v>
      </c>
      <c r="B83" s="6" t="inlineStr">
        <is>
          <t>Lucy Electric</t>
        </is>
      </c>
      <c r="C83" s="6" t="inlineStr">
        <is>
          <t>Instrument Transformers (CT/VT)</t>
        </is>
      </c>
      <c r="D83" s="6" t="inlineStr">
        <is>
          <t>Current Transformer 50/25/5A Dual Ratio for AMU Metering</t>
        </is>
      </c>
      <c r="E83" s="6" t="inlineStr">
        <is>
          <t>CT 50/25/5A Class 0.5</t>
        </is>
      </c>
      <c r="F83" s="6" t="inlineStr">
        <is>
          <t>Ratio: 50/25/5A</t>
        </is>
      </c>
      <c r="G83" s="6" t="inlineStr">
        <is>
          <t>Burden: 10VA</t>
        </is>
      </c>
      <c r="H83" s="6" t="inlineStr">
        <is>
          <t>Accuracy: Class 0.5</t>
        </is>
      </c>
      <c r="I83" s="6" t="inlineStr">
        <is>
          <t>Mounting: Bushing / Busbar Mounted</t>
        </is>
      </c>
      <c r="J83" s="6" t="inlineStr">
        <is>
          <t>Quantity: Set of 3</t>
        </is>
      </c>
      <c r="K83" s="6" t="inlineStr">
        <is>
          <t>Instrument Transformer</t>
        </is>
      </c>
      <c r="L83" s="6" t="inlineStr">
        <is>
          <t>Standard Stock</t>
        </is>
      </c>
      <c r="M83" s="6" t="inlineStr">
        <is>
          <t>CT-AMU-50-25-5A</t>
        </is>
      </c>
      <c r="N83" s="7" t="n"/>
      <c r="O83" s="8" t="inlineStr">
        <is>
          <t>Upon request</t>
        </is>
      </c>
      <c r="P83" s="8">
        <f>IF(ISNUMBER(O83),O83*(1-N83),O83)</f>
        <v/>
      </c>
      <c r="Q83" s="6" t="inlineStr">
        <is>
          <t>Protection &amp; Metering CTs</t>
        </is>
      </c>
      <c r="R83" s="6" t="inlineStr">
        <is>
          <t>Ring type cast resin CT; Ratio: 50/25/5A; Burden: 10VA; Class: Class 0.5; Suitable for tariff metering or circuit breaker protection relay / TLF</t>
        </is>
      </c>
      <c r="S83" s="6" t="inlineStr">
        <is>
          <t>Aegis Plus VCB (V, T, C modules) &amp; Air Metering Unit</t>
        </is>
      </c>
      <c r="T83" s="5" t="inlineStr">
        <is>
          <t>3 pcs/set</t>
        </is>
      </c>
      <c r="U83" s="6" t="inlineStr">
        <is>
          <t>Conforms to IEC 61869-2; multi-ratio taps available</t>
        </is>
      </c>
      <c r="V83" s="5" t="n">
        <v>37</v>
      </c>
    </row>
    <row r="84" ht="20" customHeight="1">
      <c r="A84" s="9" t="n">
        <v>80</v>
      </c>
      <c r="B84" s="10" t="inlineStr">
        <is>
          <t>Lucy Electric</t>
        </is>
      </c>
      <c r="C84" s="10" t="inlineStr">
        <is>
          <t>Instrument Transformers (CT/VT)</t>
        </is>
      </c>
      <c r="D84" s="10" t="inlineStr">
        <is>
          <t>Current Transformer 100-50/1A Dual Ratio for AMU Metering</t>
        </is>
      </c>
      <c r="E84" s="10" t="inlineStr">
        <is>
          <t>CT 100-50/1A Class 0.2/0.5</t>
        </is>
      </c>
      <c r="F84" s="10" t="inlineStr">
        <is>
          <t>Ratio: 100-50/1A</t>
        </is>
      </c>
      <c r="G84" s="10" t="inlineStr">
        <is>
          <t>Burden: 10VA</t>
        </is>
      </c>
      <c r="H84" s="10" t="inlineStr">
        <is>
          <t>Accuracy: Class 0.2/0.5</t>
        </is>
      </c>
      <c r="I84" s="10" t="inlineStr">
        <is>
          <t>Mounting: Bushing / Busbar Mounted</t>
        </is>
      </c>
      <c r="J84" s="10" t="inlineStr">
        <is>
          <t>Quantity: Set of 3</t>
        </is>
      </c>
      <c r="K84" s="10" t="inlineStr">
        <is>
          <t>Instrument Transformer</t>
        </is>
      </c>
      <c r="L84" s="10" t="inlineStr">
        <is>
          <t>Standard Stock</t>
        </is>
      </c>
      <c r="M84" s="10" t="inlineStr">
        <is>
          <t>CT-AMU-100-50-1A</t>
        </is>
      </c>
      <c r="N84" s="11" t="n"/>
      <c r="O84" s="12" t="inlineStr">
        <is>
          <t>Upon request</t>
        </is>
      </c>
      <c r="P84" s="12">
        <f>IF(ISNUMBER(O84),O84*(1-N84),O84)</f>
        <v/>
      </c>
      <c r="Q84" s="10" t="inlineStr">
        <is>
          <t>Protection &amp; Metering CTs</t>
        </is>
      </c>
      <c r="R84" s="10" t="inlineStr">
        <is>
          <t>Ring type cast resin CT; Ratio: 100-50/1A; Burden: 10VA; Class: Class 0.2/0.5; Suitable for tariff metering or circuit breaker protection relay / TLF</t>
        </is>
      </c>
      <c r="S84" s="10" t="inlineStr">
        <is>
          <t>Aegis Plus VCB (V, T, C modules) &amp; Air Metering Unit</t>
        </is>
      </c>
      <c r="T84" s="9" t="inlineStr">
        <is>
          <t>3 pcs/set</t>
        </is>
      </c>
      <c r="U84" s="10" t="inlineStr">
        <is>
          <t>Conforms to IEC 61869-2; multi-ratio taps available</t>
        </is>
      </c>
      <c r="V84" s="9" t="n">
        <v>37</v>
      </c>
    </row>
    <row r="85" ht="20" customHeight="1">
      <c r="A85" s="5" t="n">
        <v>81</v>
      </c>
      <c r="B85" s="6" t="inlineStr">
        <is>
          <t>Lucy Electric</t>
        </is>
      </c>
      <c r="C85" s="6" t="inlineStr">
        <is>
          <t>Instrument Transformers (CT/VT)</t>
        </is>
      </c>
      <c r="D85" s="6" t="inlineStr">
        <is>
          <t>Current Transformer 100/50/5A Dual Ratio for AMU Metering</t>
        </is>
      </c>
      <c r="E85" s="6" t="inlineStr">
        <is>
          <t>CT 100/50/5A Class 0.5</t>
        </is>
      </c>
      <c r="F85" s="6" t="inlineStr">
        <is>
          <t>Ratio: 100/50/5A</t>
        </is>
      </c>
      <c r="G85" s="6" t="inlineStr">
        <is>
          <t>Burden: 10/15VA</t>
        </is>
      </c>
      <c r="H85" s="6" t="inlineStr">
        <is>
          <t>Accuracy: Class 0.5</t>
        </is>
      </c>
      <c r="I85" s="6" t="inlineStr">
        <is>
          <t>Mounting: Bushing / Busbar Mounted</t>
        </is>
      </c>
      <c r="J85" s="6" t="inlineStr">
        <is>
          <t>Quantity: Set of 3</t>
        </is>
      </c>
      <c r="K85" s="6" t="inlineStr">
        <is>
          <t>Instrument Transformer</t>
        </is>
      </c>
      <c r="L85" s="6" t="inlineStr">
        <is>
          <t>Standard Stock</t>
        </is>
      </c>
      <c r="M85" s="6" t="inlineStr">
        <is>
          <t>CT-AMU-100-50-5A</t>
        </is>
      </c>
      <c r="N85" s="7" t="n"/>
      <c r="O85" s="8" t="inlineStr">
        <is>
          <t>Upon request</t>
        </is>
      </c>
      <c r="P85" s="8">
        <f>IF(ISNUMBER(O85),O85*(1-N85),O85)</f>
        <v/>
      </c>
      <c r="Q85" s="6" t="inlineStr">
        <is>
          <t>Protection &amp; Metering CTs</t>
        </is>
      </c>
      <c r="R85" s="6" t="inlineStr">
        <is>
          <t>Ring type cast resin CT; Ratio: 100/50/5A; Burden: 10/15VA; Class: Class 0.5; Suitable for tariff metering or circuit breaker protection relay / TLF</t>
        </is>
      </c>
      <c r="S85" s="6" t="inlineStr">
        <is>
          <t>Aegis Plus VCB (V, T, C modules) &amp; Air Metering Unit</t>
        </is>
      </c>
      <c r="T85" s="5" t="inlineStr">
        <is>
          <t>3 pcs/set</t>
        </is>
      </c>
      <c r="U85" s="6" t="inlineStr">
        <is>
          <t>Conforms to IEC 61869-2; multi-ratio taps available</t>
        </is>
      </c>
      <c r="V85" s="5" t="n">
        <v>37</v>
      </c>
    </row>
    <row r="86" ht="20" customHeight="1">
      <c r="A86" s="9" t="n">
        <v>82</v>
      </c>
      <c r="B86" s="10" t="inlineStr">
        <is>
          <t>Lucy Electric</t>
        </is>
      </c>
      <c r="C86" s="10" t="inlineStr">
        <is>
          <t>Instrument Transformers (CT/VT)</t>
        </is>
      </c>
      <c r="D86" s="10" t="inlineStr">
        <is>
          <t>Current Transformer 200-100/1A Dual Ratio for AMU Metering</t>
        </is>
      </c>
      <c r="E86" s="10" t="inlineStr">
        <is>
          <t>CT 200-100/1A Class 0.2/0.5</t>
        </is>
      </c>
      <c r="F86" s="10" t="inlineStr">
        <is>
          <t>Ratio: 200-100/1A</t>
        </is>
      </c>
      <c r="G86" s="10" t="inlineStr">
        <is>
          <t>Burden: 10/15VA</t>
        </is>
      </c>
      <c r="H86" s="10" t="inlineStr">
        <is>
          <t>Accuracy: Class 0.2/0.5</t>
        </is>
      </c>
      <c r="I86" s="10" t="inlineStr">
        <is>
          <t>Mounting: Bushing / Busbar Mounted</t>
        </is>
      </c>
      <c r="J86" s="10" t="inlineStr">
        <is>
          <t>Quantity: Set of 3</t>
        </is>
      </c>
      <c r="K86" s="10" t="inlineStr">
        <is>
          <t>Instrument Transformer</t>
        </is>
      </c>
      <c r="L86" s="10" t="inlineStr">
        <is>
          <t>Standard Stock</t>
        </is>
      </c>
      <c r="M86" s="10" t="inlineStr">
        <is>
          <t>CT-AMU-200-100-1A</t>
        </is>
      </c>
      <c r="N86" s="11" t="n"/>
      <c r="O86" s="12" t="inlineStr">
        <is>
          <t>Upon request</t>
        </is>
      </c>
      <c r="P86" s="12">
        <f>IF(ISNUMBER(O86),O86*(1-N86),O86)</f>
        <v/>
      </c>
      <c r="Q86" s="10" t="inlineStr">
        <is>
          <t>Protection &amp; Metering CTs</t>
        </is>
      </c>
      <c r="R86" s="10" t="inlineStr">
        <is>
          <t>Ring type cast resin CT; Ratio: 200-100/1A; Burden: 10/15VA; Class: Class 0.2/0.5; Suitable for tariff metering or circuit breaker protection relay / TLF</t>
        </is>
      </c>
      <c r="S86" s="10" t="inlineStr">
        <is>
          <t>Aegis Plus VCB (V, T, C modules) &amp; Air Metering Unit</t>
        </is>
      </c>
      <c r="T86" s="9" t="inlineStr">
        <is>
          <t>3 pcs/set</t>
        </is>
      </c>
      <c r="U86" s="10" t="inlineStr">
        <is>
          <t>Conforms to IEC 61869-2; multi-ratio taps available</t>
        </is>
      </c>
      <c r="V86" s="9" t="n">
        <v>37</v>
      </c>
    </row>
    <row r="87" ht="20" customHeight="1">
      <c r="A87" s="5" t="n">
        <v>83</v>
      </c>
      <c r="B87" s="6" t="inlineStr">
        <is>
          <t>Lucy Electric</t>
        </is>
      </c>
      <c r="C87" s="6" t="inlineStr">
        <is>
          <t>Instrument Transformers (CT/VT)</t>
        </is>
      </c>
      <c r="D87" s="6" t="inlineStr">
        <is>
          <t>Current Transformer 200/100/5A Dual Ratio for AMU Metering</t>
        </is>
      </c>
      <c r="E87" s="6" t="inlineStr">
        <is>
          <t>CT 200/100/5A Class 0.5</t>
        </is>
      </c>
      <c r="F87" s="6" t="inlineStr">
        <is>
          <t>Ratio: 200/100/5A</t>
        </is>
      </c>
      <c r="G87" s="6" t="inlineStr">
        <is>
          <t>Burden: 5/15VA</t>
        </is>
      </c>
      <c r="H87" s="6" t="inlineStr">
        <is>
          <t>Accuracy: Class 0.5</t>
        </is>
      </c>
      <c r="I87" s="6" t="inlineStr">
        <is>
          <t>Mounting: Bushing / Busbar Mounted</t>
        </is>
      </c>
      <c r="J87" s="6" t="inlineStr">
        <is>
          <t>Quantity: Set of 3</t>
        </is>
      </c>
      <c r="K87" s="6" t="inlineStr">
        <is>
          <t>Instrument Transformer</t>
        </is>
      </c>
      <c r="L87" s="6" t="inlineStr">
        <is>
          <t>Standard Stock</t>
        </is>
      </c>
      <c r="M87" s="6" t="inlineStr">
        <is>
          <t>CT-AMU-200-100-5A</t>
        </is>
      </c>
      <c r="N87" s="7" t="n"/>
      <c r="O87" s="8" t="inlineStr">
        <is>
          <t>Upon request</t>
        </is>
      </c>
      <c r="P87" s="8">
        <f>IF(ISNUMBER(O87),O87*(1-N87),O87)</f>
        <v/>
      </c>
      <c r="Q87" s="6" t="inlineStr">
        <is>
          <t>Protection &amp; Metering CTs</t>
        </is>
      </c>
      <c r="R87" s="6" t="inlineStr">
        <is>
          <t>Ring type cast resin CT; Ratio: 200/100/5A; Burden: 5/15VA; Class: Class 0.5; Suitable for tariff metering or circuit breaker protection relay / TLF</t>
        </is>
      </c>
      <c r="S87" s="6" t="inlineStr">
        <is>
          <t>Aegis Plus VCB (V, T, C modules) &amp; Air Metering Unit</t>
        </is>
      </c>
      <c r="T87" s="5" t="inlineStr">
        <is>
          <t>3 pcs/set</t>
        </is>
      </c>
      <c r="U87" s="6" t="inlineStr">
        <is>
          <t>Conforms to IEC 61869-2; multi-ratio taps available</t>
        </is>
      </c>
      <c r="V87" s="5" t="n">
        <v>37</v>
      </c>
    </row>
    <row r="88" ht="20" customHeight="1">
      <c r="A88" s="9" t="n">
        <v>84</v>
      </c>
      <c r="B88" s="10" t="inlineStr">
        <is>
          <t>Lucy Electric</t>
        </is>
      </c>
      <c r="C88" s="10" t="inlineStr">
        <is>
          <t>Instrument Transformers (CT/VT)</t>
        </is>
      </c>
      <c r="D88" s="10" t="inlineStr">
        <is>
          <t>Current Transformer 300/150/5A Dual Ratio for AMU Metering</t>
        </is>
      </c>
      <c r="E88" s="10" t="inlineStr">
        <is>
          <t>CT 300/150/5A Class 0.5/1.0</t>
        </is>
      </c>
      <c r="F88" s="10" t="inlineStr">
        <is>
          <t>Ratio: 300/150/5A</t>
        </is>
      </c>
      <c r="G88" s="10" t="inlineStr">
        <is>
          <t>Burden: 5/15VA</t>
        </is>
      </c>
      <c r="H88" s="10" t="inlineStr">
        <is>
          <t>Accuracy: Class 0.5/1.0</t>
        </is>
      </c>
      <c r="I88" s="10" t="inlineStr">
        <is>
          <t>Mounting: Bushing / Busbar Mounted</t>
        </is>
      </c>
      <c r="J88" s="10" t="inlineStr">
        <is>
          <t>Quantity: Set of 3</t>
        </is>
      </c>
      <c r="K88" s="10" t="inlineStr">
        <is>
          <t>Instrument Transformer</t>
        </is>
      </c>
      <c r="L88" s="10" t="inlineStr">
        <is>
          <t>Standard Stock</t>
        </is>
      </c>
      <c r="M88" s="10" t="inlineStr">
        <is>
          <t>CT-AMU-300-150-5A</t>
        </is>
      </c>
      <c r="N88" s="11" t="n"/>
      <c r="O88" s="12" t="inlineStr">
        <is>
          <t>Upon request</t>
        </is>
      </c>
      <c r="P88" s="12">
        <f>IF(ISNUMBER(O88),O88*(1-N88),O88)</f>
        <v/>
      </c>
      <c r="Q88" s="10" t="inlineStr">
        <is>
          <t>Protection &amp; Metering CTs</t>
        </is>
      </c>
      <c r="R88" s="10" t="inlineStr">
        <is>
          <t>Ring type cast resin CT; Ratio: 300/150/5A; Burden: 5/15VA; Class: Class 0.5/1.0; Suitable for tariff metering or circuit breaker protection relay / TLF</t>
        </is>
      </c>
      <c r="S88" s="10" t="inlineStr">
        <is>
          <t>Aegis Plus VCB (V, T, C modules) &amp; Air Metering Unit</t>
        </is>
      </c>
      <c r="T88" s="9" t="inlineStr">
        <is>
          <t>3 pcs/set</t>
        </is>
      </c>
      <c r="U88" s="10" t="inlineStr">
        <is>
          <t>Conforms to IEC 61869-2; multi-ratio taps available</t>
        </is>
      </c>
      <c r="V88" s="9" t="n">
        <v>37</v>
      </c>
    </row>
    <row r="89" ht="20" customHeight="1">
      <c r="A89" s="5" t="n">
        <v>85</v>
      </c>
      <c r="B89" s="6" t="inlineStr">
        <is>
          <t>Lucy Electric</t>
        </is>
      </c>
      <c r="C89" s="6" t="inlineStr">
        <is>
          <t>Instrument Transformers (CT/VT)</t>
        </is>
      </c>
      <c r="D89" s="6" t="inlineStr">
        <is>
          <t>Current Transformer 400/200/5A Dual Ratio for AMU Metering</t>
        </is>
      </c>
      <c r="E89" s="6" t="inlineStr">
        <is>
          <t>CT 400/200/5A Class 0.2/0.5</t>
        </is>
      </c>
      <c r="F89" s="6" t="inlineStr">
        <is>
          <t>Ratio: 400/200/5A</t>
        </is>
      </c>
      <c r="G89" s="6" t="inlineStr">
        <is>
          <t>Burden: 15/20VA</t>
        </is>
      </c>
      <c r="H89" s="6" t="inlineStr">
        <is>
          <t>Accuracy: Class 0.2/0.5</t>
        </is>
      </c>
      <c r="I89" s="6" t="inlineStr">
        <is>
          <t>Mounting: Bushing / Busbar Mounted</t>
        </is>
      </c>
      <c r="J89" s="6" t="inlineStr">
        <is>
          <t>Quantity: Set of 3</t>
        </is>
      </c>
      <c r="K89" s="6" t="inlineStr">
        <is>
          <t>Instrument Transformer</t>
        </is>
      </c>
      <c r="L89" s="6" t="inlineStr">
        <is>
          <t>Standard Stock</t>
        </is>
      </c>
      <c r="M89" s="6" t="inlineStr">
        <is>
          <t>CT-AMU-400-200-5A</t>
        </is>
      </c>
      <c r="N89" s="7" t="n"/>
      <c r="O89" s="8" t="inlineStr">
        <is>
          <t>Upon request</t>
        </is>
      </c>
      <c r="P89" s="8">
        <f>IF(ISNUMBER(O89),O89*(1-N89),O89)</f>
        <v/>
      </c>
      <c r="Q89" s="6" t="inlineStr">
        <is>
          <t>Protection &amp; Metering CTs</t>
        </is>
      </c>
      <c r="R89" s="6" t="inlineStr">
        <is>
          <t>Ring type cast resin CT; Ratio: 400/200/5A; Burden: 15/20VA; Class: Class 0.2/0.5; Suitable for tariff metering or circuit breaker protection relay / TLF</t>
        </is>
      </c>
      <c r="S89" s="6" t="inlineStr">
        <is>
          <t>Aegis Plus VCB (V, T, C modules) &amp; Air Metering Unit</t>
        </is>
      </c>
      <c r="T89" s="5" t="inlineStr">
        <is>
          <t>3 pcs/set</t>
        </is>
      </c>
      <c r="U89" s="6" t="inlineStr">
        <is>
          <t>Conforms to IEC 61869-2; multi-ratio taps available</t>
        </is>
      </c>
      <c r="V89" s="5" t="n">
        <v>37</v>
      </c>
    </row>
    <row r="90" ht="20" customHeight="1">
      <c r="A90" s="9" t="n">
        <v>86</v>
      </c>
      <c r="B90" s="10" t="inlineStr">
        <is>
          <t>Lucy Electric</t>
        </is>
      </c>
      <c r="C90" s="10" t="inlineStr">
        <is>
          <t>Instrument Transformers (CT/VT)</t>
        </is>
      </c>
      <c r="D90" s="10" t="inlineStr">
        <is>
          <t>Protection Current Transformer Dual Primary Ratio 100:50/-</t>
        </is>
      </c>
      <c r="E90" s="10" t="inlineStr">
        <is>
          <t>CT 100:50/- 5P10 Protection</t>
        </is>
      </c>
      <c r="F90" s="10" t="inlineStr">
        <is>
          <t>Ratio: 100:50/-</t>
        </is>
      </c>
      <c r="G90" s="10" t="inlineStr">
        <is>
          <t>Burden: 15VA</t>
        </is>
      </c>
      <c r="H90" s="10" t="inlineStr">
        <is>
          <t>Accuracy: 5P10 Protection</t>
        </is>
      </c>
      <c r="I90" s="10" t="inlineStr">
        <is>
          <t>Mounting: Bushing / Busbar Mounted</t>
        </is>
      </c>
      <c r="J90" s="10" t="inlineStr">
        <is>
          <t>Quantity: Set of 3</t>
        </is>
      </c>
      <c r="K90" s="10" t="inlineStr">
        <is>
          <t>Instrument Transformer</t>
        </is>
      </c>
      <c r="L90" s="10" t="inlineStr">
        <is>
          <t>Standard Stock</t>
        </is>
      </c>
      <c r="M90" s="10" t="inlineStr">
        <is>
          <t>CT-PROT-100-50</t>
        </is>
      </c>
      <c r="N90" s="11" t="n"/>
      <c r="O90" s="12" t="inlineStr">
        <is>
          <t>Upon request</t>
        </is>
      </c>
      <c r="P90" s="12">
        <f>IF(ISNUMBER(O90),O90*(1-N90),O90)</f>
        <v/>
      </c>
      <c r="Q90" s="10" t="inlineStr">
        <is>
          <t>Protection &amp; Metering CTs</t>
        </is>
      </c>
      <c r="R90" s="10" t="inlineStr">
        <is>
          <t>Ring type cast resin CT; Ratio: 100:50/-; Burden: 15VA; Class: 5P10 Protection; Suitable for tariff metering or circuit breaker protection relay / TLF</t>
        </is>
      </c>
      <c r="S90" s="10" t="inlineStr">
        <is>
          <t>Aegis Plus VCB (V, T, C modules) &amp; Air Metering Unit</t>
        </is>
      </c>
      <c r="T90" s="9" t="inlineStr">
        <is>
          <t>3 pcs/set</t>
        </is>
      </c>
      <c r="U90" s="10" t="inlineStr">
        <is>
          <t>Conforms to IEC 61869-2; multi-ratio taps available</t>
        </is>
      </c>
      <c r="V90" s="9" t="n">
        <v>46</v>
      </c>
    </row>
    <row r="91" ht="20" customHeight="1">
      <c r="A91" s="5" t="n">
        <v>87</v>
      </c>
      <c r="B91" s="6" t="inlineStr">
        <is>
          <t>Lucy Electric</t>
        </is>
      </c>
      <c r="C91" s="6" t="inlineStr">
        <is>
          <t>Instrument Transformers (CT/VT)</t>
        </is>
      </c>
      <c r="D91" s="6" t="inlineStr">
        <is>
          <t>Protection Current Transformer Dual Primary Ratio 200:100/-</t>
        </is>
      </c>
      <c r="E91" s="6" t="inlineStr">
        <is>
          <t>CT 200:100/- 5P10 Protection</t>
        </is>
      </c>
      <c r="F91" s="6" t="inlineStr">
        <is>
          <t>Ratio: 200:100/-</t>
        </is>
      </c>
      <c r="G91" s="6" t="inlineStr">
        <is>
          <t>Burden: 15VA</t>
        </is>
      </c>
      <c r="H91" s="6" t="inlineStr">
        <is>
          <t>Accuracy: 5P10 Protection</t>
        </is>
      </c>
      <c r="I91" s="6" t="inlineStr">
        <is>
          <t>Mounting: Bushing / Busbar Mounted</t>
        </is>
      </c>
      <c r="J91" s="6" t="inlineStr">
        <is>
          <t>Quantity: Set of 3</t>
        </is>
      </c>
      <c r="K91" s="6" t="inlineStr">
        <is>
          <t>Instrument Transformer</t>
        </is>
      </c>
      <c r="L91" s="6" t="inlineStr">
        <is>
          <t>Standard Stock</t>
        </is>
      </c>
      <c r="M91" s="6" t="inlineStr">
        <is>
          <t>CT-PROT-200-100</t>
        </is>
      </c>
      <c r="N91" s="7" t="n"/>
      <c r="O91" s="8" t="inlineStr">
        <is>
          <t>Upon request</t>
        </is>
      </c>
      <c r="P91" s="8">
        <f>IF(ISNUMBER(O91),O91*(1-N91),O91)</f>
        <v/>
      </c>
      <c r="Q91" s="6" t="inlineStr">
        <is>
          <t>Protection &amp; Metering CTs</t>
        </is>
      </c>
      <c r="R91" s="6" t="inlineStr">
        <is>
          <t>Ring type cast resin CT; Ratio: 200:100/-; Burden: 15VA; Class: 5P10 Protection; Suitable for tariff metering or circuit breaker protection relay / TLF</t>
        </is>
      </c>
      <c r="S91" s="6" t="inlineStr">
        <is>
          <t>Aegis Plus VCB (V, T, C modules) &amp; Air Metering Unit</t>
        </is>
      </c>
      <c r="T91" s="5" t="inlineStr">
        <is>
          <t>3 pcs/set</t>
        </is>
      </c>
      <c r="U91" s="6" t="inlineStr">
        <is>
          <t>Conforms to IEC 61869-2; multi-ratio taps available</t>
        </is>
      </c>
      <c r="V91" s="5" t="n">
        <v>46</v>
      </c>
    </row>
    <row r="92" ht="20" customHeight="1">
      <c r="A92" s="9" t="n">
        <v>88</v>
      </c>
      <c r="B92" s="10" t="inlineStr">
        <is>
          <t>Lucy Electric</t>
        </is>
      </c>
      <c r="C92" s="10" t="inlineStr">
        <is>
          <t>Instrument Transformers (CT/VT)</t>
        </is>
      </c>
      <c r="D92" s="10" t="inlineStr">
        <is>
          <t>Protection Current Transformer Triple Primary Ratio 150:100:50/-</t>
        </is>
      </c>
      <c r="E92" s="10" t="inlineStr">
        <is>
          <t>CT 150:100:50/- 5P10 Protection</t>
        </is>
      </c>
      <c r="F92" s="10" t="inlineStr">
        <is>
          <t>Ratio: 150:100:50/-</t>
        </is>
      </c>
      <c r="G92" s="10" t="inlineStr">
        <is>
          <t>Burden: 15VA</t>
        </is>
      </c>
      <c r="H92" s="10" t="inlineStr">
        <is>
          <t>Accuracy: 5P10 Protection</t>
        </is>
      </c>
      <c r="I92" s="10" t="inlineStr">
        <is>
          <t>Mounting: Bushing / Busbar Mounted</t>
        </is>
      </c>
      <c r="J92" s="10" t="inlineStr">
        <is>
          <t>Quantity: Set of 3</t>
        </is>
      </c>
      <c r="K92" s="10" t="inlineStr">
        <is>
          <t>Instrument Transformer</t>
        </is>
      </c>
      <c r="L92" s="10" t="inlineStr">
        <is>
          <t>Standard Stock</t>
        </is>
      </c>
      <c r="M92" s="10" t="inlineStr">
        <is>
          <t>CT-PROT-150-100-50</t>
        </is>
      </c>
      <c r="N92" s="11" t="n"/>
      <c r="O92" s="12" t="inlineStr">
        <is>
          <t>Upon request</t>
        </is>
      </c>
      <c r="P92" s="12">
        <f>IF(ISNUMBER(O92),O92*(1-N92),O92)</f>
        <v/>
      </c>
      <c r="Q92" s="10" t="inlineStr">
        <is>
          <t>Protection &amp; Metering CTs</t>
        </is>
      </c>
      <c r="R92" s="10" t="inlineStr">
        <is>
          <t>Ring type cast resin CT; Ratio: 150:100:50/-; Burden: 15VA; Class: 5P10 Protection; Suitable for tariff metering or circuit breaker protection relay / TLF</t>
        </is>
      </c>
      <c r="S92" s="10" t="inlineStr">
        <is>
          <t>Aegis Plus VCB (V, T, C modules) &amp; Air Metering Unit</t>
        </is>
      </c>
      <c r="T92" s="9" t="inlineStr">
        <is>
          <t>3 pcs/set</t>
        </is>
      </c>
      <c r="U92" s="10" t="inlineStr">
        <is>
          <t>Conforms to IEC 61869-2; multi-ratio taps available</t>
        </is>
      </c>
      <c r="V92" s="9" t="n">
        <v>46</v>
      </c>
    </row>
    <row r="93" ht="20" customHeight="1">
      <c r="A93" s="5" t="n">
        <v>89</v>
      </c>
      <c r="B93" s="6" t="inlineStr">
        <is>
          <t>Lucy Electric</t>
        </is>
      </c>
      <c r="C93" s="6" t="inlineStr">
        <is>
          <t>Smart Grid RTU &amp; Automation</t>
        </is>
      </c>
      <c r="D93" s="6" t="inlineStr">
        <is>
          <t>Gemini 3 Modular Remote Terminal Unit (RTU) Complete Base Unit</t>
        </is>
      </c>
      <c r="E93" s="6" t="inlineStr">
        <is>
          <t>Gemini 3 G3-RTU-BASE</t>
        </is>
      </c>
      <c r="F93" s="6" t="inlineStr">
        <is>
          <t>Power: 24V DC</t>
        </is>
      </c>
      <c r="G93" s="6" t="inlineStr">
        <is>
          <t>Capacity: 7000 events</t>
        </is>
      </c>
      <c r="H93" s="6" t="inlineStr">
        <is>
          <t>Protocol: Modbus / DNP3 / IEC101/104</t>
        </is>
      </c>
      <c r="I93" s="6" t="inlineStr">
        <is>
          <t>Mounting: Integrated LV Compartment</t>
        </is>
      </c>
      <c r="J93" s="6" t="inlineStr">
        <is>
          <t>Environment: Maintenance Free</t>
        </is>
      </c>
      <c r="K93" s="6" t="inlineStr">
        <is>
          <t>RTU Module</t>
        </is>
      </c>
      <c r="L93" s="6" t="inlineStr">
        <is>
          <t>Standard Stock</t>
        </is>
      </c>
      <c r="M93" s="6" t="inlineStr">
        <is>
          <t>G3-RTU-BASE</t>
        </is>
      </c>
      <c r="N93" s="7" t="n"/>
      <c r="O93" s="8" t="inlineStr">
        <is>
          <t>Upon request</t>
        </is>
      </c>
      <c r="P93" s="8">
        <f>IF(ISNUMBER(O93),O93*(1-N93),O93)</f>
        <v/>
      </c>
      <c r="Q93" s="6" t="inlineStr">
        <is>
          <t>Gemini 3</t>
        </is>
      </c>
      <c r="R93" s="6" t="inlineStr">
        <is>
          <t>Communication: Dual isolated Ethernet, RS232, isolated RS485; GSM/GPRS/Radio/Optic fibre ready; 7000 event non-volatile memory; SCADA synchronised real-time clock; ENATS compliant</t>
        </is>
      </c>
      <c r="S93" s="6" t="inlineStr">
        <is>
          <t>Aegis Plus Ring Main Units (Upper LV compartment integration)</t>
        </is>
      </c>
      <c r="T93" s="5" t="n">
        <v>1</v>
      </c>
      <c r="U93" s="6" t="inlineStr">
        <is>
          <t>Factory fitted neatly in upper LV compartment, eliminating external control boxes</t>
        </is>
      </c>
      <c r="V93" s="5" t="n">
        <v>38</v>
      </c>
    </row>
    <row r="94" ht="20" customHeight="1">
      <c r="A94" s="9" t="n">
        <v>90</v>
      </c>
      <c r="B94" s="10" t="inlineStr">
        <is>
          <t>Lucy Electric</t>
        </is>
      </c>
      <c r="C94" s="10" t="inlineStr">
        <is>
          <t>Smart Grid RTU &amp; Automation</t>
        </is>
      </c>
      <c r="D94" s="10" t="inlineStr">
        <is>
          <t>Gemini 3 Master Control Module (Main Processor &amp; Protocol Communications)</t>
        </is>
      </c>
      <c r="E94" s="10" t="inlineStr">
        <is>
          <t>Gemini 3 G3-MCM</t>
        </is>
      </c>
      <c r="F94" s="10" t="inlineStr">
        <is>
          <t>Power: 24V DC</t>
        </is>
      </c>
      <c r="G94" s="10" t="inlineStr">
        <is>
          <t>Capacity: Dual Eth / RS232 / RS485</t>
        </is>
      </c>
      <c r="H94" s="10" t="inlineStr">
        <is>
          <t>Protocol: IEC 60870-5-104/101, DNP 3.0</t>
        </is>
      </c>
      <c r="I94" s="10" t="inlineStr">
        <is>
          <t>Mounting: Modular Plug-in</t>
        </is>
      </c>
      <c r="J94" s="10" t="inlineStr">
        <is>
          <t>Environment: Maintenance Free</t>
        </is>
      </c>
      <c r="K94" s="10" t="inlineStr">
        <is>
          <t>RTU Module</t>
        </is>
      </c>
      <c r="L94" s="10" t="inlineStr">
        <is>
          <t>Standard Stock</t>
        </is>
      </c>
      <c r="M94" s="10" t="inlineStr">
        <is>
          <t>G3-MCM</t>
        </is>
      </c>
      <c r="N94" s="11" t="n"/>
      <c r="O94" s="12" t="inlineStr">
        <is>
          <t>Upon request</t>
        </is>
      </c>
      <c r="P94" s="12">
        <f>IF(ISNUMBER(O94),O94*(1-N94),O94)</f>
        <v/>
      </c>
      <c r="Q94" s="10" t="inlineStr">
        <is>
          <t>Gemini 3</t>
        </is>
      </c>
      <c r="R94" s="10" t="inlineStr">
        <is>
          <t>Communication: Dual isolated Ethernet, RS232, isolated RS485; GSM/GPRS/Radio/Optic fibre ready; 7000 event non-volatile memory; SCADA synchronised real-time clock; ENATS compliant</t>
        </is>
      </c>
      <c r="S94" s="10" t="inlineStr">
        <is>
          <t>Aegis Plus Ring Main Units (Upper LV compartment integration)</t>
        </is>
      </c>
      <c r="T94" s="9" t="n">
        <v>1</v>
      </c>
      <c r="U94" s="10" t="inlineStr">
        <is>
          <t>Factory fitted neatly in upper LV compartment, eliminating external control boxes</t>
        </is>
      </c>
      <c r="V94" s="9" t="n">
        <v>38</v>
      </c>
    </row>
    <row r="95" ht="20" customHeight="1">
      <c r="A95" s="5" t="n">
        <v>91</v>
      </c>
      <c r="B95" s="6" t="inlineStr">
        <is>
          <t>Lucy Electric</t>
        </is>
      </c>
      <c r="C95" s="6" t="inlineStr">
        <is>
          <t>Smart Grid RTU &amp; Automation</t>
        </is>
      </c>
      <c r="D95" s="6" t="inlineStr">
        <is>
          <t>Gemini 3 Single Switch Module (Secure interlocked control of single switch)</t>
        </is>
      </c>
      <c r="E95" s="6" t="inlineStr">
        <is>
          <t>Gemini 3 G3-SSM</t>
        </is>
      </c>
      <c r="F95" s="6" t="inlineStr">
        <is>
          <t>Power: 24V DC</t>
        </is>
      </c>
      <c r="G95" s="6" t="inlineStr">
        <is>
          <t>Capacity: 1 Switch Control</t>
        </is>
      </c>
      <c r="H95" s="6" t="inlineStr">
        <is>
          <t>Protocol: Interlocked Control</t>
        </is>
      </c>
      <c r="I95" s="6" t="inlineStr">
        <is>
          <t>Mounting: Modular Plug-in</t>
        </is>
      </c>
      <c r="J95" s="6" t="inlineStr">
        <is>
          <t>Environment: Maintenance Free</t>
        </is>
      </c>
      <c r="K95" s="6" t="inlineStr">
        <is>
          <t>RTU Module</t>
        </is>
      </c>
      <c r="L95" s="6" t="inlineStr">
        <is>
          <t>Standard Stock</t>
        </is>
      </c>
      <c r="M95" s="6" t="inlineStr">
        <is>
          <t>G3-SSM</t>
        </is>
      </c>
      <c r="N95" s="7" t="n"/>
      <c r="O95" s="8" t="inlineStr">
        <is>
          <t>Upon request</t>
        </is>
      </c>
      <c r="P95" s="8">
        <f>IF(ISNUMBER(O95),O95*(1-N95),O95)</f>
        <v/>
      </c>
      <c r="Q95" s="6" t="inlineStr">
        <is>
          <t>Gemini 3</t>
        </is>
      </c>
      <c r="R95" s="6" t="inlineStr">
        <is>
          <t>Communication: Dual isolated Ethernet, RS232, isolated RS485; GSM/GPRS/Radio/Optic fibre ready; 7000 event non-volatile memory; SCADA synchronised real-time clock; ENATS compliant</t>
        </is>
      </c>
      <c r="S95" s="6" t="inlineStr">
        <is>
          <t>Aegis Plus Ring Main Units (Upper LV compartment integration)</t>
        </is>
      </c>
      <c r="T95" s="5" t="n">
        <v>1</v>
      </c>
      <c r="U95" s="6" t="inlineStr">
        <is>
          <t>Factory fitted neatly in upper LV compartment, eliminating external control boxes</t>
        </is>
      </c>
      <c r="V95" s="5" t="n">
        <v>38</v>
      </c>
    </row>
    <row r="96" ht="20" customHeight="1">
      <c r="A96" s="9" t="n">
        <v>92</v>
      </c>
      <c r="B96" s="10" t="inlineStr">
        <is>
          <t>Lucy Electric</t>
        </is>
      </c>
      <c r="C96" s="10" t="inlineStr">
        <is>
          <t>Smart Grid RTU &amp; Automation</t>
        </is>
      </c>
      <c r="D96" s="10" t="inlineStr">
        <is>
          <t>Gemini 3 Dual Switch Module (Secure interlocked control of two MV switches)</t>
        </is>
      </c>
      <c r="E96" s="10" t="inlineStr">
        <is>
          <t>Gemini 3 G3-DSM</t>
        </is>
      </c>
      <c r="F96" s="10" t="inlineStr">
        <is>
          <t>Power: 24V DC</t>
        </is>
      </c>
      <c r="G96" s="10" t="inlineStr">
        <is>
          <t>Capacity: 2 Switch Control</t>
        </is>
      </c>
      <c r="H96" s="10" t="inlineStr">
        <is>
          <t>Protocol: Interlocked Control</t>
        </is>
      </c>
      <c r="I96" s="10" t="inlineStr">
        <is>
          <t>Mounting: Modular Plug-in</t>
        </is>
      </c>
      <c r="J96" s="10" t="inlineStr">
        <is>
          <t>Environment: Maintenance Free</t>
        </is>
      </c>
      <c r="K96" s="10" t="inlineStr">
        <is>
          <t>RTU Module</t>
        </is>
      </c>
      <c r="L96" s="10" t="inlineStr">
        <is>
          <t>Standard Stock</t>
        </is>
      </c>
      <c r="M96" s="10" t="inlineStr">
        <is>
          <t>G3-DSM</t>
        </is>
      </c>
      <c r="N96" s="11" t="n"/>
      <c r="O96" s="12" t="inlineStr">
        <is>
          <t>Upon request</t>
        </is>
      </c>
      <c r="P96" s="12">
        <f>IF(ISNUMBER(O96),O96*(1-N96),O96)</f>
        <v/>
      </c>
      <c r="Q96" s="10" t="inlineStr">
        <is>
          <t>Gemini 3</t>
        </is>
      </c>
      <c r="R96" s="10" t="inlineStr">
        <is>
          <t>Communication: Dual isolated Ethernet, RS232, isolated RS485; GSM/GPRS/Radio/Optic fibre ready; 7000 event non-volatile memory; SCADA synchronised real-time clock; ENATS compliant</t>
        </is>
      </c>
      <c r="S96" s="10" t="inlineStr">
        <is>
          <t>Aegis Plus Ring Main Units (Upper LV compartment integration)</t>
        </is>
      </c>
      <c r="T96" s="9" t="n">
        <v>1</v>
      </c>
      <c r="U96" s="10" t="inlineStr">
        <is>
          <t>Factory fitted neatly in upper LV compartment, eliminating external control boxes</t>
        </is>
      </c>
      <c r="V96" s="9" t="n">
        <v>38</v>
      </c>
    </row>
    <row r="97" ht="20" customHeight="1">
      <c r="A97" s="5" t="n">
        <v>93</v>
      </c>
      <c r="B97" s="6" t="inlineStr">
        <is>
          <t>Lucy Electric</t>
        </is>
      </c>
      <c r="C97" s="6" t="inlineStr">
        <is>
          <t>Smart Grid RTU &amp; Automation</t>
        </is>
      </c>
      <c r="D97" s="6" t="inlineStr">
        <is>
          <t>Gemini 3 Power Supply Module with intelligent 24V DC battery charging</t>
        </is>
      </c>
      <c r="E97" s="6" t="inlineStr">
        <is>
          <t>Gemini 3 G3-PSM</t>
        </is>
      </c>
      <c r="F97" s="6" t="inlineStr">
        <is>
          <t>Power: 110-240V AC / 24V DC</t>
        </is>
      </c>
      <c r="G97" s="6" t="inlineStr">
        <is>
          <t>Capacity: Intelligent Charger</t>
        </is>
      </c>
      <c r="H97" s="6" t="inlineStr">
        <is>
          <t>Protocol: Regulated Power Supply</t>
        </is>
      </c>
      <c r="I97" s="6" t="inlineStr">
        <is>
          <t>Mounting: Modular Plug-in</t>
        </is>
      </c>
      <c r="J97" s="6" t="inlineStr">
        <is>
          <t>Environment: Maintenance Free</t>
        </is>
      </c>
      <c r="K97" s="6" t="inlineStr">
        <is>
          <t>RTU Module</t>
        </is>
      </c>
      <c r="L97" s="6" t="inlineStr">
        <is>
          <t>Standard Stock</t>
        </is>
      </c>
      <c r="M97" s="6" t="inlineStr">
        <is>
          <t>G3-PSM</t>
        </is>
      </c>
      <c r="N97" s="7" t="n"/>
      <c r="O97" s="8" t="inlineStr">
        <is>
          <t>Upon request</t>
        </is>
      </c>
      <c r="P97" s="8">
        <f>IF(ISNUMBER(O97),O97*(1-N97),O97)</f>
        <v/>
      </c>
      <c r="Q97" s="6" t="inlineStr">
        <is>
          <t>Gemini 3</t>
        </is>
      </c>
      <c r="R97" s="6" t="inlineStr">
        <is>
          <t>Communication: Dual isolated Ethernet, RS232, isolated RS485; GSM/GPRS/Radio/Optic fibre ready; 7000 event non-volatile memory; SCADA synchronised real-time clock; ENATS compliant</t>
        </is>
      </c>
      <c r="S97" s="6" t="inlineStr">
        <is>
          <t>Aegis Plus Ring Main Units (Upper LV compartment integration)</t>
        </is>
      </c>
      <c r="T97" s="5" t="n">
        <v>1</v>
      </c>
      <c r="U97" s="6" t="inlineStr">
        <is>
          <t>Factory fitted neatly in upper LV compartment, eliminating external control boxes</t>
        </is>
      </c>
      <c r="V97" s="5" t="n">
        <v>38</v>
      </c>
    </row>
    <row r="98" ht="20" customHeight="1">
      <c r="A98" s="9" t="n">
        <v>94</v>
      </c>
      <c r="B98" s="10" t="inlineStr">
        <is>
          <t>Lucy Electric</t>
        </is>
      </c>
      <c r="C98" s="10" t="inlineStr">
        <is>
          <t>Smart Grid RTU &amp; Automation</t>
        </is>
      </c>
      <c r="D98" s="10" t="inlineStr">
        <is>
          <t>Gemini 3 Input Output Module (Digital &amp; analogue inputs, relay outputs)</t>
        </is>
      </c>
      <c r="E98" s="10" t="inlineStr">
        <is>
          <t>Gemini 3 G3-IOM</t>
        </is>
      </c>
      <c r="F98" s="10" t="inlineStr">
        <is>
          <t>Power: 24V DC</t>
        </is>
      </c>
      <c r="G98" s="10" t="inlineStr">
        <is>
          <t>Capacity: Multi I/O</t>
        </is>
      </c>
      <c r="H98" s="10" t="inlineStr">
        <is>
          <t>Protocol: Status &amp; Alarms</t>
        </is>
      </c>
      <c r="I98" s="10" t="inlineStr">
        <is>
          <t>Mounting: Modular Plug-in</t>
        </is>
      </c>
      <c r="J98" s="10" t="inlineStr">
        <is>
          <t>Environment: Maintenance Free</t>
        </is>
      </c>
      <c r="K98" s="10" t="inlineStr">
        <is>
          <t>RTU Module</t>
        </is>
      </c>
      <c r="L98" s="10" t="inlineStr">
        <is>
          <t>Standard Stock</t>
        </is>
      </c>
      <c r="M98" s="10" t="inlineStr">
        <is>
          <t>G3-IOM</t>
        </is>
      </c>
      <c r="N98" s="11" t="n"/>
      <c r="O98" s="12" t="inlineStr">
        <is>
          <t>Upon request</t>
        </is>
      </c>
      <c r="P98" s="12">
        <f>IF(ISNUMBER(O98),O98*(1-N98),O98)</f>
        <v/>
      </c>
      <c r="Q98" s="10" t="inlineStr">
        <is>
          <t>Gemini 3</t>
        </is>
      </c>
      <c r="R98" s="10" t="inlineStr">
        <is>
          <t>Communication: Dual isolated Ethernet, RS232, isolated RS485; GSM/GPRS/Radio/Optic fibre ready; 7000 event non-volatile memory; SCADA synchronised real-time clock; ENATS compliant</t>
        </is>
      </c>
      <c r="S98" s="10" t="inlineStr">
        <is>
          <t>Aegis Plus Ring Main Units (Upper LV compartment integration)</t>
        </is>
      </c>
      <c r="T98" s="9" t="n">
        <v>1</v>
      </c>
      <c r="U98" s="10" t="inlineStr">
        <is>
          <t>Factory fitted neatly in upper LV compartment, eliminating external control boxes</t>
        </is>
      </c>
      <c r="V98" s="9" t="n">
        <v>38</v>
      </c>
    </row>
    <row r="99" ht="20" customHeight="1">
      <c r="A99" s="5" t="n">
        <v>95</v>
      </c>
      <c r="B99" s="6" t="inlineStr">
        <is>
          <t>Lucy Electric</t>
        </is>
      </c>
      <c r="C99" s="6" t="inlineStr">
        <is>
          <t>Smart Grid RTU &amp; Automation</t>
        </is>
      </c>
      <c r="D99" s="6" t="inlineStr">
        <is>
          <t>Gemini 3 Fault Passage Module (Dual FPI overcurrent &amp; earth fault detection)</t>
        </is>
      </c>
      <c r="E99" s="6" t="inlineStr">
        <is>
          <t>Gemini 3 G3-FPM</t>
        </is>
      </c>
      <c r="F99" s="6" t="inlineStr">
        <is>
          <t>Power: 24V DC</t>
        </is>
      </c>
      <c r="G99" s="6" t="inlineStr">
        <is>
          <t>Capacity: Dual FPI</t>
        </is>
      </c>
      <c r="H99" s="6" t="inlineStr">
        <is>
          <t>Protocol: Overcurrent &amp; Earth Fault</t>
        </is>
      </c>
      <c r="I99" s="6" t="inlineStr">
        <is>
          <t>Mounting: Modular Plug-in</t>
        </is>
      </c>
      <c r="J99" s="6" t="inlineStr">
        <is>
          <t>Environment: Maintenance Free</t>
        </is>
      </c>
      <c r="K99" s="6" t="inlineStr">
        <is>
          <t>RTU Module</t>
        </is>
      </c>
      <c r="L99" s="6" t="inlineStr">
        <is>
          <t>Standard Stock</t>
        </is>
      </c>
      <c r="M99" s="6" t="inlineStr">
        <is>
          <t>G3-FPM</t>
        </is>
      </c>
      <c r="N99" s="7" t="n"/>
      <c r="O99" s="8" t="inlineStr">
        <is>
          <t>Upon request</t>
        </is>
      </c>
      <c r="P99" s="8">
        <f>IF(ISNUMBER(O99),O99*(1-N99),O99)</f>
        <v/>
      </c>
      <c r="Q99" s="6" t="inlineStr">
        <is>
          <t>Gemini 3</t>
        </is>
      </c>
      <c r="R99" s="6" t="inlineStr">
        <is>
          <t>Communication: Dual isolated Ethernet, RS232, isolated RS485; GSM/GPRS/Radio/Optic fibre ready; 7000 event non-volatile memory; SCADA synchronised real-time clock; ENATS compliant</t>
        </is>
      </c>
      <c r="S99" s="6" t="inlineStr">
        <is>
          <t>Aegis Plus Ring Main Units (Upper LV compartment integration)</t>
        </is>
      </c>
      <c r="T99" s="5" t="n">
        <v>1</v>
      </c>
      <c r="U99" s="6" t="inlineStr">
        <is>
          <t>Factory fitted neatly in upper LV compartment, eliminating external control boxes</t>
        </is>
      </c>
      <c r="V99" s="5" t="n">
        <v>38</v>
      </c>
    </row>
    <row r="100" ht="20" customHeight="1">
      <c r="A100" s="9" t="n">
        <v>96</v>
      </c>
      <c r="B100" s="10" t="inlineStr">
        <is>
          <t>Lucy Electric</t>
        </is>
      </c>
      <c r="C100" s="10" t="inlineStr">
        <is>
          <t>Smart Grid RTU &amp; Automation</t>
        </is>
      </c>
      <c r="D100" s="10" t="inlineStr">
        <is>
          <t>Gemini 3 Human Machine Interface (Local LCD display and push-button control)</t>
        </is>
      </c>
      <c r="E100" s="10" t="inlineStr">
        <is>
          <t>Gemini 3 G3-HMI</t>
        </is>
      </c>
      <c r="F100" s="10" t="inlineStr">
        <is>
          <t>Power: 24V DC</t>
        </is>
      </c>
      <c r="G100" s="10" t="inlineStr">
        <is>
          <t>Capacity: LCD Display</t>
        </is>
      </c>
      <c r="H100" s="10" t="inlineStr">
        <is>
          <t>Protocol: Security Enabled Local Control</t>
        </is>
      </c>
      <c r="I100" s="10" t="inlineStr">
        <is>
          <t>Mounting: Fascia Mounted</t>
        </is>
      </c>
      <c r="J100" s="10" t="inlineStr">
        <is>
          <t>Environment: Maintenance Free</t>
        </is>
      </c>
      <c r="K100" s="10" t="inlineStr">
        <is>
          <t>RTU Module</t>
        </is>
      </c>
      <c r="L100" s="10" t="inlineStr">
        <is>
          <t>Standard Stock</t>
        </is>
      </c>
      <c r="M100" s="10" t="inlineStr">
        <is>
          <t>G3-HMI</t>
        </is>
      </c>
      <c r="N100" s="11" t="n"/>
      <c r="O100" s="12" t="inlineStr">
        <is>
          <t>Upon request</t>
        </is>
      </c>
      <c r="P100" s="12">
        <f>IF(ISNUMBER(O100),O100*(1-N100),O100)</f>
        <v/>
      </c>
      <c r="Q100" s="10" t="inlineStr">
        <is>
          <t>Gemini 3</t>
        </is>
      </c>
      <c r="R100" s="10" t="inlineStr">
        <is>
          <t>Communication: Dual isolated Ethernet, RS232, isolated RS485; GSM/GPRS/Radio/Optic fibre ready; 7000 event non-volatile memory; SCADA synchronised real-time clock; ENATS compliant</t>
        </is>
      </c>
      <c r="S100" s="10" t="inlineStr">
        <is>
          <t>Aegis Plus Ring Main Units (Upper LV compartment integration)</t>
        </is>
      </c>
      <c r="T100" s="9" t="n">
        <v>1</v>
      </c>
      <c r="U100" s="10" t="inlineStr">
        <is>
          <t>Factory fitted neatly in upper LV compartment, eliminating external control boxes</t>
        </is>
      </c>
      <c r="V100" s="9" t="n">
        <v>38</v>
      </c>
    </row>
    <row r="101" ht="20" customHeight="1">
      <c r="A101" s="5" t="n">
        <v>97</v>
      </c>
      <c r="B101" s="6" t="inlineStr">
        <is>
          <t>Lucy Electric</t>
        </is>
      </c>
      <c r="C101" s="6" t="inlineStr">
        <is>
          <t>Smart Grid RTU &amp; Automation</t>
        </is>
      </c>
      <c r="D101" s="6" t="inlineStr">
        <is>
          <t>Automatic Transfer Scheme (ATS) Automation Package with Gemini 3 RTU</t>
        </is>
      </c>
      <c r="E101" s="6" t="inlineStr">
        <is>
          <t>Gemini 3 AGP-ATS-PACKAGE</t>
        </is>
      </c>
      <c r="F101" s="6" t="inlineStr">
        <is>
          <t>Power: 24V DC / Mains</t>
        </is>
      </c>
      <c r="G101" s="6" t="inlineStr">
        <is>
          <t>Capacity: Dual Incomer Auto Changeover</t>
        </is>
      </c>
      <c r="H101" s="6" t="inlineStr">
        <is>
          <t>Protocol: Fast Auto-Sectionalising</t>
        </is>
      </c>
      <c r="I101" s="6" t="inlineStr">
        <is>
          <t>Mounting: Upper LV Enclosure</t>
        </is>
      </c>
      <c r="J101" s="6" t="inlineStr">
        <is>
          <t>Environment: Maintenance Free</t>
        </is>
      </c>
      <c r="K101" s="6" t="inlineStr">
        <is>
          <t>RTU Module</t>
        </is>
      </c>
      <c r="L101" s="6" t="inlineStr">
        <is>
          <t>Standard Stock</t>
        </is>
      </c>
      <c r="M101" s="6" t="inlineStr">
        <is>
          <t>AGP-ATS-PACKAGE</t>
        </is>
      </c>
      <c r="N101" s="7" t="n"/>
      <c r="O101" s="8" t="inlineStr">
        <is>
          <t>Upon request</t>
        </is>
      </c>
      <c r="P101" s="8">
        <f>IF(ISNUMBER(O101),O101*(1-N101),O101)</f>
        <v/>
      </c>
      <c r="Q101" s="6" t="inlineStr">
        <is>
          <t>Gemini 3</t>
        </is>
      </c>
      <c r="R101" s="6" t="inlineStr">
        <is>
          <t>Communication: Dual isolated Ethernet, RS232, isolated RS485; GSM/GPRS/Radio/Optic fibre ready; 7000 event non-volatile memory; SCADA synchronised real-time clock; ENATS compliant</t>
        </is>
      </c>
      <c r="S101" s="6" t="inlineStr">
        <is>
          <t>Aegis Plus Ring Main Units (Upper LV compartment integration)</t>
        </is>
      </c>
      <c r="T101" s="5" t="n">
        <v>1</v>
      </c>
      <c r="U101" s="6" t="inlineStr">
        <is>
          <t>Factory fitted neatly in upper LV compartment, eliminating external control boxes</t>
        </is>
      </c>
      <c r="V101" s="5" t="n">
        <v>39</v>
      </c>
    </row>
    <row r="102" ht="20" customHeight="1">
      <c r="A102" s="9" t="n">
        <v>98</v>
      </c>
      <c r="B102" s="10" t="inlineStr">
        <is>
          <t>Lucy Electric</t>
        </is>
      </c>
      <c r="C102" s="10" t="inlineStr">
        <is>
          <t>Circuit Breaker Protection (TLF)</t>
        </is>
      </c>
      <c r="D102" s="10" t="inlineStr">
        <is>
          <t>Time Limit Fuse Link 3A (57mm x 13mm) for Transformer Fault Protection</t>
        </is>
      </c>
      <c r="E102" s="10" t="inlineStr">
        <is>
          <t>Fuse Link 3A</t>
        </is>
      </c>
      <c r="F102" s="10" t="inlineStr">
        <is>
          <t>Current: 3A</t>
        </is>
      </c>
      <c r="G102" s="10" t="inlineStr">
        <is>
          <t>Voltage: 3.3 - 24kV</t>
        </is>
      </c>
      <c r="H102" s="10" t="inlineStr">
        <is>
          <t>Transformer: Up to 2000kVA</t>
        </is>
      </c>
      <c r="I102" s="10" t="inlineStr">
        <is>
          <t>Dimensions: 57mm x 13mm</t>
        </is>
      </c>
      <c r="J102" s="10" t="inlineStr">
        <is>
          <t>Location: LV Compartment</t>
        </is>
      </c>
      <c r="K102" s="10" t="inlineStr">
        <is>
          <t>Protection Fuse Link</t>
        </is>
      </c>
      <c r="L102" s="10" t="inlineStr">
        <is>
          <t>Stocked</t>
        </is>
      </c>
      <c r="M102" s="10" t="inlineStr">
        <is>
          <t>TLF-3A</t>
        </is>
      </c>
      <c r="N102" s="11" t="n"/>
      <c r="O102" s="13" t="n">
        <v>5</v>
      </c>
      <c r="P102" s="13">
        <f>IF(ISNUMBER(O102),O102*(1-N102),O102)</f>
        <v/>
      </c>
      <c r="Q102" s="10" t="inlineStr">
        <is>
          <t>Aegis Protection</t>
        </is>
      </c>
      <c r="R102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2" s="10" t="inlineStr">
        <is>
          <t>Aegis Plus VCB (V and T modules) &amp; F switch</t>
        </is>
      </c>
      <c r="T102" s="9" t="n">
        <v>3</v>
      </c>
      <c r="U102" s="10" t="inlineStr">
        <is>
          <t>Cost-effective transformer fault protection; Approximate replacement cost: $5.00</t>
        </is>
      </c>
      <c r="V102" s="9" t="n">
        <v>23</v>
      </c>
    </row>
    <row r="103" ht="20" customHeight="1">
      <c r="A103" s="5" t="n">
        <v>99</v>
      </c>
      <c r="B103" s="6" t="inlineStr">
        <is>
          <t>Lucy Electric</t>
        </is>
      </c>
      <c r="C103" s="6" t="inlineStr">
        <is>
          <t>Circuit Breaker Protection (TLF)</t>
        </is>
      </c>
      <c r="D103" s="6" t="inlineStr">
        <is>
          <t>Time Limit Fuse Link 5A (57mm x 13mm) for Transformer Fault Protection</t>
        </is>
      </c>
      <c r="E103" s="6" t="inlineStr">
        <is>
          <t>Fuse Link 5A</t>
        </is>
      </c>
      <c r="F103" s="6" t="inlineStr">
        <is>
          <t>Current: 5A</t>
        </is>
      </c>
      <c r="G103" s="6" t="inlineStr">
        <is>
          <t>Voltage: 3.3 - 24kV</t>
        </is>
      </c>
      <c r="H103" s="6" t="inlineStr">
        <is>
          <t>Transformer: Up to 2000kVA</t>
        </is>
      </c>
      <c r="I103" s="6" t="inlineStr">
        <is>
          <t>Dimensions: 57mm x 13mm</t>
        </is>
      </c>
      <c r="J103" s="6" t="inlineStr">
        <is>
          <t>Location: LV Compartment</t>
        </is>
      </c>
      <c r="K103" s="6" t="inlineStr">
        <is>
          <t>Protection Fuse Link</t>
        </is>
      </c>
      <c r="L103" s="6" t="inlineStr">
        <is>
          <t>Stocked</t>
        </is>
      </c>
      <c r="M103" s="6" t="inlineStr">
        <is>
          <t>TLF-5A</t>
        </is>
      </c>
      <c r="N103" s="7" t="n"/>
      <c r="O103" s="14" t="n">
        <v>5</v>
      </c>
      <c r="P103" s="14">
        <f>IF(ISNUMBER(O103),O103*(1-N103),O103)</f>
        <v/>
      </c>
      <c r="Q103" s="6" t="inlineStr">
        <is>
          <t>Aegis Protection</t>
        </is>
      </c>
      <c r="R103" s="6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3" s="6" t="inlineStr">
        <is>
          <t>Aegis Plus VCB (V and T modules) &amp; F switch</t>
        </is>
      </c>
      <c r="T103" s="5" t="n">
        <v>3</v>
      </c>
      <c r="U103" s="6" t="inlineStr">
        <is>
          <t>Cost-effective transformer fault protection; Approximate replacement cost: $5.00</t>
        </is>
      </c>
      <c r="V103" s="5" t="n">
        <v>23</v>
      </c>
    </row>
    <row r="104" ht="20" customHeight="1">
      <c r="A104" s="9" t="n">
        <v>100</v>
      </c>
      <c r="B104" s="10" t="inlineStr">
        <is>
          <t>Lucy Electric</t>
        </is>
      </c>
      <c r="C104" s="10" t="inlineStr">
        <is>
          <t>Circuit Breaker Protection (TLF)</t>
        </is>
      </c>
      <c r="D104" s="10" t="inlineStr">
        <is>
          <t>Time Limit Fuse Link 7.5A (57mm x 13mm) for Transformer Fault Protection</t>
        </is>
      </c>
      <c r="E104" s="10" t="inlineStr">
        <is>
          <t>Fuse Link 7.5A</t>
        </is>
      </c>
      <c r="F104" s="10" t="inlineStr">
        <is>
          <t>Current: 7.5A</t>
        </is>
      </c>
      <c r="G104" s="10" t="inlineStr">
        <is>
          <t>Voltage: 3.3 - 24kV</t>
        </is>
      </c>
      <c r="H104" s="10" t="inlineStr">
        <is>
          <t>Transformer: Up to 2000kVA</t>
        </is>
      </c>
      <c r="I104" s="10" t="inlineStr">
        <is>
          <t>Dimensions: 57mm x 13mm</t>
        </is>
      </c>
      <c r="J104" s="10" t="inlineStr">
        <is>
          <t>Location: LV Compartment</t>
        </is>
      </c>
      <c r="K104" s="10" t="inlineStr">
        <is>
          <t>Protection Fuse Link</t>
        </is>
      </c>
      <c r="L104" s="10" t="inlineStr">
        <is>
          <t>Stocked</t>
        </is>
      </c>
      <c r="M104" s="10" t="inlineStr">
        <is>
          <t>TLF-7.5A</t>
        </is>
      </c>
      <c r="N104" s="11" t="n"/>
      <c r="O104" s="13" t="n">
        <v>5</v>
      </c>
      <c r="P104" s="13">
        <f>IF(ISNUMBER(O104),O104*(1-N104),O104)</f>
        <v/>
      </c>
      <c r="Q104" s="10" t="inlineStr">
        <is>
          <t>Aegis Protection</t>
        </is>
      </c>
      <c r="R104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4" s="10" t="inlineStr">
        <is>
          <t>Aegis Plus VCB (V and T modules) &amp; F switch</t>
        </is>
      </c>
      <c r="T104" s="9" t="n">
        <v>3</v>
      </c>
      <c r="U104" s="10" t="inlineStr">
        <is>
          <t>Cost-effective transformer fault protection; Approximate replacement cost: $5.00</t>
        </is>
      </c>
      <c r="V104" s="9" t="n">
        <v>23</v>
      </c>
    </row>
    <row r="105" ht="20" customHeight="1">
      <c r="A105" s="5" t="n">
        <v>101</v>
      </c>
      <c r="B105" s="6" t="inlineStr">
        <is>
          <t>Lucy Electric</t>
        </is>
      </c>
      <c r="C105" s="6" t="inlineStr">
        <is>
          <t>Circuit Breaker Protection (TLF)</t>
        </is>
      </c>
      <c r="D105" s="6" t="inlineStr">
        <is>
          <t>Time Limit Fuse Link 10A (57mm x 13mm) for Transformer Fault Protection</t>
        </is>
      </c>
      <c r="E105" s="6" t="inlineStr">
        <is>
          <t>Fuse Link 10A</t>
        </is>
      </c>
      <c r="F105" s="6" t="inlineStr">
        <is>
          <t>Current: 10A</t>
        </is>
      </c>
      <c r="G105" s="6" t="inlineStr">
        <is>
          <t>Voltage: 3.3 - 24kV</t>
        </is>
      </c>
      <c r="H105" s="6" t="inlineStr">
        <is>
          <t>Transformer: Up to 2000kVA</t>
        </is>
      </c>
      <c r="I105" s="6" t="inlineStr">
        <is>
          <t>Dimensions: 57mm x 13mm</t>
        </is>
      </c>
      <c r="J105" s="6" t="inlineStr">
        <is>
          <t>Location: LV Compartment</t>
        </is>
      </c>
      <c r="K105" s="6" t="inlineStr">
        <is>
          <t>Protection Fuse Link</t>
        </is>
      </c>
      <c r="L105" s="6" t="inlineStr">
        <is>
          <t>Stocked</t>
        </is>
      </c>
      <c r="M105" s="6" t="inlineStr">
        <is>
          <t>TLF-10A</t>
        </is>
      </c>
      <c r="N105" s="7" t="n"/>
      <c r="O105" s="14" t="n">
        <v>5</v>
      </c>
      <c r="P105" s="14">
        <f>IF(ISNUMBER(O105),O105*(1-N105),O105)</f>
        <v/>
      </c>
      <c r="Q105" s="6" t="inlineStr">
        <is>
          <t>Aegis Protection</t>
        </is>
      </c>
      <c r="R105" s="6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5" s="6" t="inlineStr">
        <is>
          <t>Aegis Plus VCB (V and T modules) &amp; F switch</t>
        </is>
      </c>
      <c r="T105" s="5" t="n">
        <v>3</v>
      </c>
      <c r="U105" s="6" t="inlineStr">
        <is>
          <t>Cost-effective transformer fault protection; Approximate replacement cost: $5.00</t>
        </is>
      </c>
      <c r="V105" s="5" t="n">
        <v>23</v>
      </c>
    </row>
    <row r="106" ht="20" customHeight="1">
      <c r="A106" s="9" t="n">
        <v>102</v>
      </c>
      <c r="B106" s="10" t="inlineStr">
        <is>
          <t>Lucy Electric</t>
        </is>
      </c>
      <c r="C106" s="10" t="inlineStr">
        <is>
          <t>Circuit Breaker Protection (TLF)</t>
        </is>
      </c>
      <c r="D106" s="10" t="inlineStr">
        <is>
          <t>Time Limit Fuse Link 12.5A (57mm x 13mm) for Transformer Fault Protection</t>
        </is>
      </c>
      <c r="E106" s="10" t="inlineStr">
        <is>
          <t>Fuse Link 12.5A</t>
        </is>
      </c>
      <c r="F106" s="10" t="inlineStr">
        <is>
          <t>Current: 12.5A</t>
        </is>
      </c>
      <c r="G106" s="10" t="inlineStr">
        <is>
          <t>Voltage: 3.3 - 24kV</t>
        </is>
      </c>
      <c r="H106" s="10" t="inlineStr">
        <is>
          <t>Transformer: Up to 2000kVA</t>
        </is>
      </c>
      <c r="I106" s="10" t="inlineStr">
        <is>
          <t>Dimensions: 57mm x 13mm</t>
        </is>
      </c>
      <c r="J106" s="10" t="inlineStr">
        <is>
          <t>Location: LV Compartment</t>
        </is>
      </c>
      <c r="K106" s="10" t="inlineStr">
        <is>
          <t>Protection Fuse Link</t>
        </is>
      </c>
      <c r="L106" s="10" t="inlineStr">
        <is>
          <t>Stocked</t>
        </is>
      </c>
      <c r="M106" s="10" t="inlineStr">
        <is>
          <t>TLF-12.5A</t>
        </is>
      </c>
      <c r="N106" s="11" t="n"/>
      <c r="O106" s="13" t="n">
        <v>5</v>
      </c>
      <c r="P106" s="13">
        <f>IF(ISNUMBER(O106),O106*(1-N106),O106)</f>
        <v/>
      </c>
      <c r="Q106" s="10" t="inlineStr">
        <is>
          <t>Aegis Protection</t>
        </is>
      </c>
      <c r="R106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6" s="10" t="inlineStr">
        <is>
          <t>Aegis Plus VCB (V and T modules) &amp; F switch</t>
        </is>
      </c>
      <c r="T106" s="9" t="n">
        <v>3</v>
      </c>
      <c r="U106" s="10" t="inlineStr">
        <is>
          <t>Cost-effective transformer fault protection; Approximate replacement cost: $5.00</t>
        </is>
      </c>
      <c r="V106" s="9" t="n">
        <v>23</v>
      </c>
    </row>
    <row r="107" ht="20" customHeight="1">
      <c r="A107" s="5" t="n">
        <v>103</v>
      </c>
      <c r="B107" s="6" t="inlineStr">
        <is>
          <t>Lucy Electric</t>
        </is>
      </c>
      <c r="C107" s="6" t="inlineStr">
        <is>
          <t>Circuit Breaker Protection (TLF)</t>
        </is>
      </c>
      <c r="D107" s="6" t="inlineStr">
        <is>
          <t>Time Limit Fuse Link 15A (57mm x 13mm) for Transformer Fault Protection</t>
        </is>
      </c>
      <c r="E107" s="6" t="inlineStr">
        <is>
          <t>Fuse Link 15A</t>
        </is>
      </c>
      <c r="F107" s="6" t="inlineStr">
        <is>
          <t>Current: 15A</t>
        </is>
      </c>
      <c r="G107" s="6" t="inlineStr">
        <is>
          <t>Voltage: 3.3 - 24kV</t>
        </is>
      </c>
      <c r="H107" s="6" t="inlineStr">
        <is>
          <t>Transformer: Up to 2000kVA</t>
        </is>
      </c>
      <c r="I107" s="6" t="inlineStr">
        <is>
          <t>Dimensions: 57mm x 13mm</t>
        </is>
      </c>
      <c r="J107" s="6" t="inlineStr">
        <is>
          <t>Location: LV Compartment</t>
        </is>
      </c>
      <c r="K107" s="6" t="inlineStr">
        <is>
          <t>Protection Fuse Link</t>
        </is>
      </c>
      <c r="L107" s="6" t="inlineStr">
        <is>
          <t>Stocked</t>
        </is>
      </c>
      <c r="M107" s="6" t="inlineStr">
        <is>
          <t>TLF-15A</t>
        </is>
      </c>
      <c r="N107" s="7" t="n"/>
      <c r="O107" s="14" t="n">
        <v>5</v>
      </c>
      <c r="P107" s="14">
        <f>IF(ISNUMBER(O107),O107*(1-N107),O107)</f>
        <v/>
      </c>
      <c r="Q107" s="6" t="inlineStr">
        <is>
          <t>Aegis Protection</t>
        </is>
      </c>
      <c r="R107" s="6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7" s="6" t="inlineStr">
        <is>
          <t>Aegis Plus VCB (V and T modules) &amp; F switch</t>
        </is>
      </c>
      <c r="T107" s="5" t="n">
        <v>3</v>
      </c>
      <c r="U107" s="6" t="inlineStr">
        <is>
          <t>Cost-effective transformer fault protection; Approximate replacement cost: $5.00</t>
        </is>
      </c>
      <c r="V107" s="5" t="n">
        <v>23</v>
      </c>
    </row>
    <row r="108" ht="20" customHeight="1">
      <c r="A108" s="9" t="n">
        <v>104</v>
      </c>
      <c r="B108" s="10" t="inlineStr">
        <is>
          <t>Lucy Electric</t>
        </is>
      </c>
      <c r="C108" s="10" t="inlineStr">
        <is>
          <t>Circuit Breaker Protection (TLF)</t>
        </is>
      </c>
      <c r="D108" s="10" t="inlineStr">
        <is>
          <t>High Voltage Fuse-Links Set for F Switch (Transformer Protection up to 1000kVA)</t>
        </is>
      </c>
      <c r="E108" s="10" t="inlineStr">
        <is>
          <t>Fuse Link Up to 200A</t>
        </is>
      </c>
      <c r="F108" s="10" t="inlineStr">
        <is>
          <t>Current: Up to 200A</t>
        </is>
      </c>
      <c r="G108" s="10" t="inlineStr">
        <is>
          <t>Voltage: 12 - 24kV</t>
        </is>
      </c>
      <c r="H108" s="10" t="inlineStr">
        <is>
          <t>Transformer: Up to 1000kVA</t>
        </is>
      </c>
      <c r="I108" s="10" t="inlineStr">
        <is>
          <t>Standard HV Fuse</t>
        </is>
      </c>
      <c r="J108" s="10" t="inlineStr">
        <is>
          <t>HV Fuse Canister</t>
        </is>
      </c>
      <c r="K108" s="10" t="inlineStr">
        <is>
          <t>Protection Fuse Link</t>
        </is>
      </c>
      <c r="L108" s="10" t="inlineStr">
        <is>
          <t>Stocked</t>
        </is>
      </c>
      <c r="M108" s="10" t="inlineStr">
        <is>
          <t>HV-FUSE-SET</t>
        </is>
      </c>
      <c r="N108" s="11" t="n"/>
      <c r="O108" s="13" t="n">
        <v>50</v>
      </c>
      <c r="P108" s="13">
        <f>IF(ISNUMBER(O108),O108*(1-N108),O108)</f>
        <v/>
      </c>
      <c r="Q108" s="10" t="inlineStr">
        <is>
          <t>Aegis Protection</t>
        </is>
      </c>
      <c r="R108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S108" s="10" t="inlineStr">
        <is>
          <t>Aegis Plus VCB (V and T modules) &amp; F switch</t>
        </is>
      </c>
      <c r="T108" s="9" t="n">
        <v>3</v>
      </c>
      <c r="U108" s="10" t="inlineStr">
        <is>
          <t>Cost-effective transformer fault protection; Approximate replacement cost: $50.00</t>
        </is>
      </c>
      <c r="V108" s="9" t="n">
        <v>23</v>
      </c>
    </row>
    <row r="109" ht="20" customHeight="1">
      <c r="A109" s="5" t="n">
        <v>105</v>
      </c>
      <c r="B109" s="6" t="inlineStr">
        <is>
          <t>Woodward</t>
        </is>
      </c>
      <c r="C109" s="6" t="inlineStr">
        <is>
          <t>Protection Relays</t>
        </is>
      </c>
      <c r="D109" s="6" t="inlineStr">
        <is>
          <t>WIP1 Self &amp; Dual Powered Overcurrent &amp; Earth Fault Protection Relay</t>
        </is>
      </c>
      <c r="E109" s="6" t="inlineStr">
        <is>
          <t>Woodward WIP1</t>
        </is>
      </c>
      <c r="F109" s="6" t="inlineStr">
        <is>
          <t>Power: Self / Dual Powered</t>
        </is>
      </c>
      <c r="G109" s="6" t="inlineStr">
        <is>
          <t>Functions: 50/51, 50N/51N</t>
        </is>
      </c>
      <c r="H109" s="6" t="inlineStr">
        <is>
          <t>Protocol: RS485 Modbus</t>
        </is>
      </c>
      <c r="I109" s="6" t="inlineStr">
        <is>
          <t>Display: Digital Display &amp; LEDs</t>
        </is>
      </c>
      <c r="J109" s="6" t="inlineStr">
        <is>
          <t>Password Protection: Yes</t>
        </is>
      </c>
      <c r="K109" s="6" t="inlineStr">
        <is>
          <t>Protection Relay</t>
        </is>
      </c>
      <c r="L109" s="6" t="inlineStr">
        <is>
          <t>Standard Stock</t>
        </is>
      </c>
      <c r="M109" s="6" t="inlineStr">
        <is>
          <t>WIP1</t>
        </is>
      </c>
      <c r="N109" s="7" t="n"/>
      <c r="O109" s="8" t="inlineStr">
        <is>
          <t>Upon request</t>
        </is>
      </c>
      <c r="P109" s="8">
        <f>IF(ISNUMBER(O109),O109*(1-N109),O109)</f>
        <v/>
      </c>
      <c r="Q109" s="6" t="inlineStr">
        <is>
          <t>Woodward Relay Series</t>
        </is>
      </c>
      <c r="R109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S109" s="6" t="inlineStr">
        <is>
          <t>Aegis Plus Circuit Breakers (V, T, C modules)</t>
        </is>
      </c>
      <c r="T109" s="5" t="n">
        <v>1</v>
      </c>
      <c r="U109" s="6" t="inlineStr">
        <is>
          <t>Fitted in upper fascia relay compartment with clear view window</t>
        </is>
      </c>
      <c r="V109" s="5" t="n">
        <v>25</v>
      </c>
    </row>
    <row r="110" ht="20" customHeight="1">
      <c r="A110" s="9" t="n">
        <v>106</v>
      </c>
      <c r="B110" s="10" t="inlineStr">
        <is>
          <t>Woodward</t>
        </is>
      </c>
      <c r="C110" s="10" t="inlineStr">
        <is>
          <t>Protection Relays</t>
        </is>
      </c>
      <c r="D110" s="10" t="inlineStr">
        <is>
          <t>WIC1 Self-Powered Overcurrent and Earth Fault Protection Relay</t>
        </is>
      </c>
      <c r="E110" s="10" t="inlineStr">
        <is>
          <t>Woodward WIC1</t>
        </is>
      </c>
      <c r="F110" s="10" t="inlineStr">
        <is>
          <t>Power: Self Powered (CT)</t>
        </is>
      </c>
      <c r="G110" s="10" t="inlineStr">
        <is>
          <t>Functions: 50/51, 50N/51N</t>
        </is>
      </c>
      <c r="H110" s="10" t="inlineStr">
        <is>
          <t>Protocol: Dual Tripping</t>
        </is>
      </c>
      <c r="I110" s="10" t="inlineStr">
        <is>
          <t>Display: LED Flags</t>
        </is>
      </c>
      <c r="J110" s="10" t="inlineStr">
        <is>
          <t>Password Protection: Yes</t>
        </is>
      </c>
      <c r="K110" s="10" t="inlineStr">
        <is>
          <t>Protection Relay</t>
        </is>
      </c>
      <c r="L110" s="10" t="inlineStr">
        <is>
          <t>Standard Stock</t>
        </is>
      </c>
      <c r="M110" s="10" t="inlineStr">
        <is>
          <t>WIC1</t>
        </is>
      </c>
      <c r="N110" s="11" t="n"/>
      <c r="O110" s="12" t="inlineStr">
        <is>
          <t>Upon request</t>
        </is>
      </c>
      <c r="P110" s="12">
        <f>IF(ISNUMBER(O110),O110*(1-N110),O110)</f>
        <v/>
      </c>
      <c r="Q110" s="10" t="inlineStr">
        <is>
          <t>Woodward Relay Series</t>
        </is>
      </c>
      <c r="R110" s="10" t="inlineStr">
        <is>
          <t>Eliminates reliance on external power supplies; Fault current recording; Non-volatile event memory; Secondary injection testing support; Operating temp: -30°C to +70°C; Standards: IEC 60255</t>
        </is>
      </c>
      <c r="S110" s="10" t="inlineStr">
        <is>
          <t>Aegis Plus Circuit Breakers (V, T, C modules)</t>
        </is>
      </c>
      <c r="T110" s="9" t="n">
        <v>1</v>
      </c>
      <c r="U110" s="10" t="inlineStr">
        <is>
          <t>Fitted in upper fascia relay compartment with clear view window</t>
        </is>
      </c>
      <c r="V110" s="9" t="n">
        <v>46</v>
      </c>
    </row>
    <row r="111" ht="20" customHeight="1">
      <c r="A111" s="5" t="n">
        <v>107</v>
      </c>
      <c r="B111" s="6" t="inlineStr">
        <is>
          <t>Ashida</t>
        </is>
      </c>
      <c r="C111" s="6" t="inlineStr">
        <is>
          <t>Protection Relays</t>
        </is>
      </c>
      <c r="D111" s="6" t="inlineStr">
        <is>
          <t>ADR241S Numerical Feeder Protection Relay (Dual Powered)</t>
        </is>
      </c>
      <c r="E111" s="6" t="inlineStr">
        <is>
          <t>Ashida ADR241S</t>
        </is>
      </c>
      <c r="F111" s="6" t="inlineStr">
        <is>
          <t>Power: Self / Dual Powered</t>
        </is>
      </c>
      <c r="G111" s="6" t="inlineStr">
        <is>
          <t>Functions: 50/51, 50N/51N</t>
        </is>
      </c>
      <c r="H111" s="6" t="inlineStr">
        <is>
          <t>Protocol: RS485 Modbus</t>
        </is>
      </c>
      <c r="I111" s="6" t="inlineStr">
        <is>
          <t>Display: LCD Display</t>
        </is>
      </c>
      <c r="J111" s="6" t="inlineStr">
        <is>
          <t>Password Protection: Yes</t>
        </is>
      </c>
      <c r="K111" s="6" t="inlineStr">
        <is>
          <t>Protection Relay</t>
        </is>
      </c>
      <c r="L111" s="6" t="inlineStr">
        <is>
          <t>Standard Stock</t>
        </is>
      </c>
      <c r="M111" s="6" t="inlineStr">
        <is>
          <t>ADR241S</t>
        </is>
      </c>
      <c r="N111" s="7" t="n"/>
      <c r="O111" s="8" t="inlineStr">
        <is>
          <t>Upon request</t>
        </is>
      </c>
      <c r="P111" s="8">
        <f>IF(ISNUMBER(O111),O111*(1-N111),O111)</f>
        <v/>
      </c>
      <c r="Q111" s="6" t="inlineStr">
        <is>
          <t>Ashida Relay Series</t>
        </is>
      </c>
      <c r="R111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S111" s="6" t="inlineStr">
        <is>
          <t>Aegis Plus Circuit Breakers (V, T, C modules)</t>
        </is>
      </c>
      <c r="T111" s="5" t="n">
        <v>1</v>
      </c>
      <c r="U111" s="6" t="inlineStr">
        <is>
          <t>Fitted in upper fascia relay compartment with clear view window</t>
        </is>
      </c>
      <c r="V111" s="5" t="n">
        <v>25</v>
      </c>
    </row>
    <row r="112" ht="20" customHeight="1">
      <c r="A112" s="9" t="n">
        <v>108</v>
      </c>
      <c r="B112" s="10" t="inlineStr">
        <is>
          <t>Kries</t>
        </is>
      </c>
      <c r="C112" s="10" t="inlineStr">
        <is>
          <t>Protection Relays</t>
        </is>
      </c>
      <c r="D112" s="10" t="inlineStr">
        <is>
          <t>IKI-35 Feeder Protection Relay with Integrated CT Inputs</t>
        </is>
      </c>
      <c r="E112" s="10" t="inlineStr">
        <is>
          <t>Kries IKI-35</t>
        </is>
      </c>
      <c r="F112" s="10" t="inlineStr">
        <is>
          <t>Power: Self / Dual Powered</t>
        </is>
      </c>
      <c r="G112" s="10" t="inlineStr">
        <is>
          <t>Functions: Overcurrent &amp; Earth Fault</t>
        </is>
      </c>
      <c r="H112" s="10" t="inlineStr">
        <is>
          <t>Protocol: Tripping Output</t>
        </is>
      </c>
      <c r="I112" s="10" t="inlineStr">
        <is>
          <t>Display: Digital Display</t>
        </is>
      </c>
      <c r="J112" s="10" t="inlineStr">
        <is>
          <t>Password Protection: Yes</t>
        </is>
      </c>
      <c r="K112" s="10" t="inlineStr">
        <is>
          <t>Protection Relay</t>
        </is>
      </c>
      <c r="L112" s="10" t="inlineStr">
        <is>
          <t>Standard Stock</t>
        </is>
      </c>
      <c r="M112" s="10" t="inlineStr">
        <is>
          <t>IKI-35</t>
        </is>
      </c>
      <c r="N112" s="11" t="n"/>
      <c r="O112" s="12" t="inlineStr">
        <is>
          <t>Upon request</t>
        </is>
      </c>
      <c r="P112" s="12">
        <f>IF(ISNUMBER(O112),O112*(1-N112),O112)</f>
        <v/>
      </c>
      <c r="Q112" s="10" t="inlineStr">
        <is>
          <t>Kries Relay Series</t>
        </is>
      </c>
      <c r="R112" s="10" t="inlineStr">
        <is>
          <t>Eliminates reliance on external power supplies; Fault current recording; Non-volatile event memory; Secondary injection testing support; Operating temp: -30°C to +70°C; Standards: IEC 60255</t>
        </is>
      </c>
      <c r="S112" s="10" t="inlineStr">
        <is>
          <t>Aegis Plus Circuit Breakers (V, T, C modules)</t>
        </is>
      </c>
      <c r="T112" s="9" t="n">
        <v>1</v>
      </c>
      <c r="U112" s="10" t="inlineStr">
        <is>
          <t>Fitted in upper fascia relay compartment with clear view window</t>
        </is>
      </c>
      <c r="V112" s="9" t="n">
        <v>25</v>
      </c>
    </row>
    <row r="113" ht="20" customHeight="1">
      <c r="A113" s="5" t="n">
        <v>109</v>
      </c>
      <c r="B113" s="6" t="inlineStr">
        <is>
          <t>Fanox</t>
        </is>
      </c>
      <c r="C113" s="6" t="inlineStr">
        <is>
          <t>Protection Relays</t>
        </is>
      </c>
      <c r="D113" s="6" t="inlineStr">
        <is>
          <t>SIA-C Dual Powered Protection Relay with Peak Demand &amp; Modbus</t>
        </is>
      </c>
      <c r="E113" s="6" t="inlineStr">
        <is>
          <t>Fanox SIA-C</t>
        </is>
      </c>
      <c r="F113" s="6" t="inlineStr">
        <is>
          <t>Power: Dual Powered</t>
        </is>
      </c>
      <c r="G113" s="6" t="inlineStr">
        <is>
          <t>Functions: 50/51, 50N/51N, 49</t>
        </is>
      </c>
      <c r="H113" s="6" t="inlineStr">
        <is>
          <t>Protocol: RS485 Modbus</t>
        </is>
      </c>
      <c r="I113" s="6" t="inlineStr">
        <is>
          <t>Display: Peak Demand Current</t>
        </is>
      </c>
      <c r="J113" s="6" t="inlineStr">
        <is>
          <t>Password Protection: Yes</t>
        </is>
      </c>
      <c r="K113" s="6" t="inlineStr">
        <is>
          <t>Protection Relay</t>
        </is>
      </c>
      <c r="L113" s="6" t="inlineStr">
        <is>
          <t>Standard Stock</t>
        </is>
      </c>
      <c r="M113" s="6" t="inlineStr">
        <is>
          <t>SIA-C</t>
        </is>
      </c>
      <c r="N113" s="7" t="n"/>
      <c r="O113" s="8" t="inlineStr">
        <is>
          <t>Upon request</t>
        </is>
      </c>
      <c r="P113" s="8">
        <f>IF(ISNUMBER(O113),O113*(1-N113),O113)</f>
        <v/>
      </c>
      <c r="Q113" s="6" t="inlineStr">
        <is>
          <t>Fanox Relay Series</t>
        </is>
      </c>
      <c r="R113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S113" s="6" t="inlineStr">
        <is>
          <t>Aegis Plus Circuit Breakers (V, T, C modules)</t>
        </is>
      </c>
      <c r="T113" s="5" t="n">
        <v>1</v>
      </c>
      <c r="U113" s="6" t="inlineStr">
        <is>
          <t>Fitted in upper fascia relay compartment with clear view window</t>
        </is>
      </c>
      <c r="V113" s="5" t="n">
        <v>25</v>
      </c>
    </row>
    <row r="114" ht="20" customHeight="1">
      <c r="A114" s="9" t="n">
        <v>110</v>
      </c>
      <c r="B114" s="10" t="inlineStr">
        <is>
          <t>Fanox</t>
        </is>
      </c>
      <c r="C114" s="10" t="inlineStr">
        <is>
          <t>Protection Relays</t>
        </is>
      </c>
      <c r="D114" s="10" t="inlineStr">
        <is>
          <t>SIA-B Overcurrent, Earth Fault &amp; Thermal Overload Protection Relay</t>
        </is>
      </c>
      <c r="E114" s="10" t="inlineStr">
        <is>
          <t>Fanox SIA-B</t>
        </is>
      </c>
      <c r="F114" s="10" t="inlineStr">
        <is>
          <t>Power: Self / Dual Powered</t>
        </is>
      </c>
      <c r="G114" s="10" t="inlineStr">
        <is>
          <t>Functions: 50/51, 50N/51N, 49</t>
        </is>
      </c>
      <c r="H114" s="10" t="inlineStr">
        <is>
          <t>Protocol: RS485 Modbus</t>
        </is>
      </c>
      <c r="I114" s="10" t="inlineStr">
        <is>
          <t>Display: Thermal Protection</t>
        </is>
      </c>
      <c r="J114" s="10" t="inlineStr">
        <is>
          <t>Password Protection: Yes</t>
        </is>
      </c>
      <c r="K114" s="10" t="inlineStr">
        <is>
          <t>Protection Relay</t>
        </is>
      </c>
      <c r="L114" s="10" t="inlineStr">
        <is>
          <t>Standard Stock</t>
        </is>
      </c>
      <c r="M114" s="10" t="inlineStr">
        <is>
          <t>SIA-B</t>
        </is>
      </c>
      <c r="N114" s="11" t="n"/>
      <c r="O114" s="12" t="inlineStr">
        <is>
          <t>Upon request</t>
        </is>
      </c>
      <c r="P114" s="12">
        <f>IF(ISNUMBER(O114),O114*(1-N114),O114)</f>
        <v/>
      </c>
      <c r="Q114" s="10" t="inlineStr">
        <is>
          <t>Fanox Relay Series</t>
        </is>
      </c>
      <c r="R114" s="10" t="inlineStr">
        <is>
          <t>Eliminates reliance on external power supplies; Fault current recording; Non-volatile event memory; Secondary injection testing support; Operating temp: -30°C to +70°C; Standards: IEC 60255</t>
        </is>
      </c>
      <c r="S114" s="10" t="inlineStr">
        <is>
          <t>Aegis Plus Circuit Breakers (V, T, C modules)</t>
        </is>
      </c>
      <c r="T114" s="9" t="n">
        <v>1</v>
      </c>
      <c r="U114" s="10" t="inlineStr">
        <is>
          <t>Fitted in upper fascia relay compartment with clear view window</t>
        </is>
      </c>
      <c r="V114" s="9" t="n">
        <v>25</v>
      </c>
    </row>
    <row r="115" ht="20" customHeight="1">
      <c r="A115" s="5" t="n">
        <v>111</v>
      </c>
      <c r="B115" s="6" t="inlineStr">
        <is>
          <t>C&amp;S Electric</t>
        </is>
      </c>
      <c r="C115" s="6" t="inlineStr">
        <is>
          <t>Protection Relays</t>
        </is>
      </c>
      <c r="D115" s="6" t="inlineStr">
        <is>
          <t>CSPR-V2 Self-Powered Microcontroller Protection Relay</t>
        </is>
      </c>
      <c r="E115" s="6" t="inlineStr">
        <is>
          <t>C&amp;S Electric CSPR-V2</t>
        </is>
      </c>
      <c r="F115" s="6" t="inlineStr">
        <is>
          <t>Power: Self Powered</t>
        </is>
      </c>
      <c r="G115" s="6" t="inlineStr">
        <is>
          <t>Functions: 50/51, 50N/51N</t>
        </is>
      </c>
      <c r="H115" s="6" t="inlineStr">
        <is>
          <t>Protocol: Trip Coil Direct</t>
        </is>
      </c>
      <c r="I115" s="6" t="inlineStr">
        <is>
          <t>Display: LED Indicators</t>
        </is>
      </c>
      <c r="J115" s="6" t="inlineStr">
        <is>
          <t>Password Protection: Yes</t>
        </is>
      </c>
      <c r="K115" s="6" t="inlineStr">
        <is>
          <t>Protection Relay</t>
        </is>
      </c>
      <c r="L115" s="6" t="inlineStr">
        <is>
          <t>Standard Stock</t>
        </is>
      </c>
      <c r="M115" s="6" t="inlineStr">
        <is>
          <t>CSPR-V2</t>
        </is>
      </c>
      <c r="N115" s="7" t="n"/>
      <c r="O115" s="8" t="inlineStr">
        <is>
          <t>Upon request</t>
        </is>
      </c>
      <c r="P115" s="8">
        <f>IF(ISNUMBER(O115),O115*(1-N115),O115)</f>
        <v/>
      </c>
      <c r="Q115" s="6" t="inlineStr">
        <is>
          <t>C&amp;S Electric Relay Series</t>
        </is>
      </c>
      <c r="R115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S115" s="6" t="inlineStr">
        <is>
          <t>Aegis Plus Circuit Breakers (V, T, C modules)</t>
        </is>
      </c>
      <c r="T115" s="5" t="n">
        <v>1</v>
      </c>
      <c r="U115" s="6" t="inlineStr">
        <is>
          <t>Fitted in upper fascia relay compartment with clear view window</t>
        </is>
      </c>
      <c r="V115" s="5" t="n">
        <v>46</v>
      </c>
    </row>
    <row r="116" ht="20" customHeight="1">
      <c r="A116" s="9" t="n">
        <v>112</v>
      </c>
      <c r="B116" s="10" t="inlineStr">
        <is>
          <t>Horstmann</t>
        </is>
      </c>
      <c r="C116" s="10" t="inlineStr">
        <is>
          <t>Earth Fault Indicators (EFI)</t>
        </is>
      </c>
      <c r="D116" s="10" t="inlineStr">
        <is>
          <t>Horstmann SIGMA F+E 3 Non-Directional Short-Circuit &amp; Earth Fault Indicator</t>
        </is>
      </c>
      <c r="E116" s="10" t="inlineStr">
        <is>
          <t>Horstmann SIGMA F+E 3</t>
        </is>
      </c>
      <c r="F116" s="10" t="inlineStr">
        <is>
          <t>Direction: Non-Directional</t>
        </is>
      </c>
      <c r="G116" s="10" t="inlineStr">
        <is>
          <t>Housing: Plug-in (96x48x96mm)</t>
        </is>
      </c>
      <c r="H116" s="10" t="inlineStr">
        <is>
          <t>Ingress: IP40</t>
        </is>
      </c>
      <c r="I116" s="10" t="inlineStr">
        <is>
          <t>Power: &gt;1000h Flash Time</t>
        </is>
      </c>
      <c r="J116" s="10" t="inlineStr">
        <is>
          <t>Features: 3 Relays NO/NC</t>
        </is>
      </c>
      <c r="K116" s="10" t="inlineStr">
        <is>
          <t>Fault Indicator</t>
        </is>
      </c>
      <c r="L116" s="10" t="inlineStr">
        <is>
          <t>Standard Stock</t>
        </is>
      </c>
      <c r="M116" s="10" t="inlineStr">
        <is>
          <t>SIGMA F+E 3</t>
        </is>
      </c>
      <c r="N116" s="11" t="n"/>
      <c r="O116" s="12" t="inlineStr">
        <is>
          <t>Upon request</t>
        </is>
      </c>
      <c r="P116" s="12">
        <f>IF(ISNUMBER(O116),O116*(1-N116),O116)</f>
        <v/>
      </c>
      <c r="Q116" s="10" t="inlineStr">
        <is>
          <t>Horstmann EFI Series</t>
        </is>
      </c>
      <c r="R116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16" s="10" t="inlineStr">
        <is>
          <t>Aegis Plus Load Break Switches (L function) &amp; Cable Compartments</t>
        </is>
      </c>
      <c r="T116" s="9" t="n">
        <v>1</v>
      </c>
      <c r="U116" s="10" t="inlineStr">
        <is>
          <t>Rapid location and isolation of network faults for smart grid automation</t>
        </is>
      </c>
      <c r="V116" s="9" t="n">
        <v>26</v>
      </c>
    </row>
    <row r="117" ht="20" customHeight="1">
      <c r="A117" s="5" t="n">
        <v>113</v>
      </c>
      <c r="B117" s="6" t="inlineStr">
        <is>
          <t>Horstmann</t>
        </is>
      </c>
      <c r="C117" s="6" t="inlineStr">
        <is>
          <t>Earth Fault Indicators (EFI)</t>
        </is>
      </c>
      <c r="D117" s="6" t="inlineStr">
        <is>
          <t>Horstmann SIGMA D/D+ Directional Short-Circuit &amp; Earth Fault Indicator</t>
        </is>
      </c>
      <c r="E117" s="6" t="inlineStr">
        <is>
          <t>Horstmann SIGMA D/D+</t>
        </is>
      </c>
      <c r="F117" s="6" t="inlineStr">
        <is>
          <t>Direction: Directional</t>
        </is>
      </c>
      <c r="G117" s="6" t="inlineStr">
        <is>
          <t>Housing: Plug-in (96x48x104mm)</t>
        </is>
      </c>
      <c r="H117" s="6" t="inlineStr">
        <is>
          <t>Ingress: IP40</t>
        </is>
      </c>
      <c r="I117" s="6" t="inlineStr">
        <is>
          <t>Power: &gt;1500h Flash Time</t>
        </is>
      </c>
      <c r="J117" s="6" t="inlineStr">
        <is>
          <t>Features: 4 Relays NO/NC; USB</t>
        </is>
      </c>
      <c r="K117" s="6" t="inlineStr">
        <is>
          <t>Fault Indicator</t>
        </is>
      </c>
      <c r="L117" s="6" t="inlineStr">
        <is>
          <t>Standard Stock</t>
        </is>
      </c>
      <c r="M117" s="6" t="inlineStr">
        <is>
          <t>SIGMA D/D+</t>
        </is>
      </c>
      <c r="N117" s="7" t="n"/>
      <c r="O117" s="8" t="inlineStr">
        <is>
          <t>Upon request</t>
        </is>
      </c>
      <c r="P117" s="8">
        <f>IF(ISNUMBER(O117),O117*(1-N117),O117)</f>
        <v/>
      </c>
      <c r="Q117" s="6" t="inlineStr">
        <is>
          <t>Horstmann EFI Series</t>
        </is>
      </c>
      <c r="R117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17" s="6" t="inlineStr">
        <is>
          <t>Aegis Plus Load Break Switches (L function) &amp; Cable Compartments</t>
        </is>
      </c>
      <c r="T117" s="5" t="n">
        <v>1</v>
      </c>
      <c r="U117" s="6" t="inlineStr">
        <is>
          <t>Rapid location and isolation of network faults for smart grid automation</t>
        </is>
      </c>
      <c r="V117" s="5" t="n">
        <v>26</v>
      </c>
    </row>
    <row r="118" ht="20" customHeight="1">
      <c r="A118" s="9" t="n">
        <v>114</v>
      </c>
      <c r="B118" s="10" t="inlineStr">
        <is>
          <t>Horstmann</t>
        </is>
      </c>
      <c r="C118" s="10" t="inlineStr">
        <is>
          <t>Earth Fault Indicators (EFI)</t>
        </is>
      </c>
      <c r="D118" s="10" t="inlineStr">
        <is>
          <t>Horstmann ComPass A Non-Directional EFI with RS485 Modbus RTU</t>
        </is>
      </c>
      <c r="E118" s="10" t="inlineStr">
        <is>
          <t>Horstmann ComPass A</t>
        </is>
      </c>
      <c r="F118" s="10" t="inlineStr">
        <is>
          <t>Direction: Non-Directional</t>
        </is>
      </c>
      <c r="G118" s="10" t="inlineStr">
        <is>
          <t>Housing: Plug-in (96x48x96mm)</t>
        </is>
      </c>
      <c r="H118" s="10" t="inlineStr">
        <is>
          <t>Ingress: IP50</t>
        </is>
      </c>
      <c r="I118" s="10" t="inlineStr">
        <is>
          <t>Power: &gt;1000h Flash Time</t>
        </is>
      </c>
      <c r="J118" s="10" t="inlineStr">
        <is>
          <t>Features: RS485 Modbus RTU; 4 Relays</t>
        </is>
      </c>
      <c r="K118" s="10" t="inlineStr">
        <is>
          <t>Fault Indicator</t>
        </is>
      </c>
      <c r="L118" s="10" t="inlineStr">
        <is>
          <t>Standard Stock</t>
        </is>
      </c>
      <c r="M118" s="10" t="inlineStr">
        <is>
          <t>ComPass A</t>
        </is>
      </c>
      <c r="N118" s="11" t="n"/>
      <c r="O118" s="12" t="inlineStr">
        <is>
          <t>Upon request</t>
        </is>
      </c>
      <c r="P118" s="12">
        <f>IF(ISNUMBER(O118),O118*(1-N118),O118)</f>
        <v/>
      </c>
      <c r="Q118" s="10" t="inlineStr">
        <is>
          <t>Horstmann EFI Series</t>
        </is>
      </c>
      <c r="R118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18" s="10" t="inlineStr">
        <is>
          <t>Aegis Plus Load Break Switches (L function) &amp; Cable Compartments</t>
        </is>
      </c>
      <c r="T118" s="9" t="n">
        <v>1</v>
      </c>
      <c r="U118" s="10" t="inlineStr">
        <is>
          <t>Rapid location and isolation of network faults for smart grid automation</t>
        </is>
      </c>
      <c r="V118" s="9" t="n">
        <v>26</v>
      </c>
    </row>
    <row r="119" ht="20" customHeight="1">
      <c r="A119" s="5" t="n">
        <v>115</v>
      </c>
      <c r="B119" s="6" t="inlineStr">
        <is>
          <t>Horstmann</t>
        </is>
      </c>
      <c r="C119" s="6" t="inlineStr">
        <is>
          <t>Earth Fault Indicators (EFI)</t>
        </is>
      </c>
      <c r="D119" s="6" t="inlineStr">
        <is>
          <t>Horstmann ComPass B Directional EFI with RS485 Modbus RTU</t>
        </is>
      </c>
      <c r="E119" s="6" t="inlineStr">
        <is>
          <t>Horstmann ComPass B</t>
        </is>
      </c>
      <c r="F119" s="6" t="inlineStr">
        <is>
          <t>Direction: Directional</t>
        </is>
      </c>
      <c r="G119" s="6" t="inlineStr">
        <is>
          <t>Housing: Plug-in (96x48x96mm)</t>
        </is>
      </c>
      <c r="H119" s="6" t="inlineStr">
        <is>
          <t>Ingress: IP50</t>
        </is>
      </c>
      <c r="I119" s="6" t="inlineStr">
        <is>
          <t>Power: &gt;1000h Flash Time</t>
        </is>
      </c>
      <c r="J119" s="6" t="inlineStr">
        <is>
          <t>Features: Directional; RS485 Modbus RTU</t>
        </is>
      </c>
      <c r="K119" s="6" t="inlineStr">
        <is>
          <t>Fault Indicator</t>
        </is>
      </c>
      <c r="L119" s="6" t="inlineStr">
        <is>
          <t>Standard Stock</t>
        </is>
      </c>
      <c r="M119" s="6" t="inlineStr">
        <is>
          <t>ComPass B</t>
        </is>
      </c>
      <c r="N119" s="7" t="n"/>
      <c r="O119" s="8" t="inlineStr">
        <is>
          <t>Upon request</t>
        </is>
      </c>
      <c r="P119" s="8">
        <f>IF(ISNUMBER(O119),O119*(1-N119),O119)</f>
        <v/>
      </c>
      <c r="Q119" s="6" t="inlineStr">
        <is>
          <t>Horstmann EFI Series</t>
        </is>
      </c>
      <c r="R119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19" s="6" t="inlineStr">
        <is>
          <t>Aegis Plus Load Break Switches (L function) &amp; Cable Compartments</t>
        </is>
      </c>
      <c r="T119" s="5" t="n">
        <v>1</v>
      </c>
      <c r="U119" s="6" t="inlineStr">
        <is>
          <t>Rapid location and isolation of network faults for smart grid automation</t>
        </is>
      </c>
      <c r="V119" s="5" t="n">
        <v>26</v>
      </c>
    </row>
    <row r="120" ht="20" customHeight="1">
      <c r="A120" s="9" t="n">
        <v>116</v>
      </c>
      <c r="B120" s="10" t="inlineStr">
        <is>
          <t>Horstmann</t>
        </is>
      </c>
      <c r="C120" s="10" t="inlineStr">
        <is>
          <t>Earth Fault Indicators (EFI)</t>
        </is>
      </c>
      <c r="D120" s="10" t="inlineStr">
        <is>
          <t>Horstmann EARTH Zero Earth Fault Indicator (Plug-in Housing)</t>
        </is>
      </c>
      <c r="E120" s="10" t="inlineStr">
        <is>
          <t>Horstmann EARTH Zero (PI)</t>
        </is>
      </c>
      <c r="F120" s="10" t="inlineStr">
        <is>
          <t>Direction: Non-Directional</t>
        </is>
      </c>
      <c r="G120" s="10" t="inlineStr">
        <is>
          <t>Housing: Plug-in</t>
        </is>
      </c>
      <c r="H120" s="10" t="inlineStr">
        <is>
          <t>Ingress: IP40</t>
        </is>
      </c>
      <c r="I120" s="10" t="inlineStr">
        <is>
          <t>Power: Super Bright RED LED</t>
        </is>
      </c>
      <c r="J120" s="10" t="inlineStr">
        <is>
          <t>Features: 2x Changeover Relays</t>
        </is>
      </c>
      <c r="K120" s="10" t="inlineStr">
        <is>
          <t>Fault Indicator</t>
        </is>
      </c>
      <c r="L120" s="10" t="inlineStr">
        <is>
          <t>Standard Stock</t>
        </is>
      </c>
      <c r="M120" s="10" t="inlineStr">
        <is>
          <t>EARTH Zero (PI)</t>
        </is>
      </c>
      <c r="N120" s="11" t="n"/>
      <c r="O120" s="12" t="inlineStr">
        <is>
          <t>Upon request</t>
        </is>
      </c>
      <c r="P120" s="12">
        <f>IF(ISNUMBER(O120),O120*(1-N120),O120)</f>
        <v/>
      </c>
      <c r="Q120" s="10" t="inlineStr">
        <is>
          <t>Horstmann EFI Series</t>
        </is>
      </c>
      <c r="R120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0" s="10" t="inlineStr">
        <is>
          <t>Aegis Plus Load Break Switches (L function) &amp; Cable Compartments</t>
        </is>
      </c>
      <c r="T120" s="9" t="n">
        <v>1</v>
      </c>
      <c r="U120" s="10" t="inlineStr">
        <is>
          <t>Rapid location and isolation of network faults for smart grid automation</t>
        </is>
      </c>
      <c r="V120" s="9" t="n">
        <v>27</v>
      </c>
    </row>
    <row r="121" ht="20" customHeight="1">
      <c r="A121" s="5" t="n">
        <v>117</v>
      </c>
      <c r="B121" s="6" t="inlineStr">
        <is>
          <t>Horstmann</t>
        </is>
      </c>
      <c r="C121" s="6" t="inlineStr">
        <is>
          <t>Earth Fault Indicators (EFI)</t>
        </is>
      </c>
      <c r="D121" s="6" t="inlineStr">
        <is>
          <t>Horstmann EARTH Zero Earth Fault Indicator (Surface Mount Housing)</t>
        </is>
      </c>
      <c r="E121" s="6" t="inlineStr">
        <is>
          <t>Horstmann EARTH Zero (SM)</t>
        </is>
      </c>
      <c r="F121" s="6" t="inlineStr">
        <is>
          <t>Direction: Non-Directional</t>
        </is>
      </c>
      <c r="G121" s="6" t="inlineStr">
        <is>
          <t>Housing: Surface Mount</t>
        </is>
      </c>
      <c r="H121" s="6" t="inlineStr">
        <is>
          <t>Ingress: IP65</t>
        </is>
      </c>
      <c r="I121" s="6" t="inlineStr">
        <is>
          <t>Power: Super Bright RED LED</t>
        </is>
      </c>
      <c r="J121" s="6" t="inlineStr">
        <is>
          <t>Features: 2x Changeover Relays</t>
        </is>
      </c>
      <c r="K121" s="6" t="inlineStr">
        <is>
          <t>Fault Indicator</t>
        </is>
      </c>
      <c r="L121" s="6" t="inlineStr">
        <is>
          <t>Standard Stock</t>
        </is>
      </c>
      <c r="M121" s="6" t="inlineStr">
        <is>
          <t>EARTH Zero (SM)</t>
        </is>
      </c>
      <c r="N121" s="7" t="n"/>
      <c r="O121" s="8" t="inlineStr">
        <is>
          <t>Upon request</t>
        </is>
      </c>
      <c r="P121" s="8">
        <f>IF(ISNUMBER(O121),O121*(1-N121),O121)</f>
        <v/>
      </c>
      <c r="Q121" s="6" t="inlineStr">
        <is>
          <t>Horstmann EFI Series</t>
        </is>
      </c>
      <c r="R121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1" s="6" t="inlineStr">
        <is>
          <t>Aegis Plus Load Break Switches (L function) &amp; Cable Compartments</t>
        </is>
      </c>
      <c r="T121" s="5" t="n">
        <v>1</v>
      </c>
      <c r="U121" s="6" t="inlineStr">
        <is>
          <t>Rapid location and isolation of network faults for smart grid automation</t>
        </is>
      </c>
      <c r="V121" s="5" t="n">
        <v>27</v>
      </c>
    </row>
    <row r="122" ht="20" customHeight="1">
      <c r="A122" s="9" t="n">
        <v>118</v>
      </c>
      <c r="B122" s="10" t="inlineStr">
        <is>
          <t>Horstmann</t>
        </is>
      </c>
      <c r="C122" s="10" t="inlineStr">
        <is>
          <t>Earth Fault Indicators (EFI)</t>
        </is>
      </c>
      <c r="D122" s="10" t="inlineStr">
        <is>
          <t>Horstmann EARTH Zero Flag EFI with Mechanical Red Flag (Plug-in)</t>
        </is>
      </c>
      <c r="E122" s="10" t="inlineStr">
        <is>
          <t>Horstmann EARTH Zero Flag (PI)</t>
        </is>
      </c>
      <c r="F122" s="10" t="inlineStr">
        <is>
          <t>Direction: Non-Directional</t>
        </is>
      </c>
      <c r="G122" s="10" t="inlineStr">
        <is>
          <t>Housing: Plug-in</t>
        </is>
      </c>
      <c r="H122" s="10" t="inlineStr">
        <is>
          <t>Ingress: IP40</t>
        </is>
      </c>
      <c r="I122" s="10" t="inlineStr">
        <is>
          <t>Power: RED LED + RED Mech Flag</t>
        </is>
      </c>
      <c r="J122" s="10" t="inlineStr">
        <is>
          <t>Features: 2x Changeover Relays</t>
        </is>
      </c>
      <c r="K122" s="10" t="inlineStr">
        <is>
          <t>Fault Indicator</t>
        </is>
      </c>
      <c r="L122" s="10" t="inlineStr">
        <is>
          <t>Standard Stock</t>
        </is>
      </c>
      <c r="M122" s="10" t="inlineStr">
        <is>
          <t>EARTH Zero Flag (PI)</t>
        </is>
      </c>
      <c r="N122" s="11" t="n"/>
      <c r="O122" s="12" t="inlineStr">
        <is>
          <t>Upon request</t>
        </is>
      </c>
      <c r="P122" s="12">
        <f>IF(ISNUMBER(O122),O122*(1-N122),O122)</f>
        <v/>
      </c>
      <c r="Q122" s="10" t="inlineStr">
        <is>
          <t>Horstmann EFI Series</t>
        </is>
      </c>
      <c r="R122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2" s="10" t="inlineStr">
        <is>
          <t>Aegis Plus Load Break Switches (L function) &amp; Cable Compartments</t>
        </is>
      </c>
      <c r="T122" s="9" t="n">
        <v>1</v>
      </c>
      <c r="U122" s="10" t="inlineStr">
        <is>
          <t>Rapid location and isolation of network faults for smart grid automation</t>
        </is>
      </c>
      <c r="V122" s="9" t="n">
        <v>27</v>
      </c>
    </row>
    <row r="123" ht="20" customHeight="1">
      <c r="A123" s="5" t="n">
        <v>119</v>
      </c>
      <c r="B123" s="6" t="inlineStr">
        <is>
          <t>Horstmann</t>
        </is>
      </c>
      <c r="C123" s="6" t="inlineStr">
        <is>
          <t>Earth Fault Indicators (EFI)</t>
        </is>
      </c>
      <c r="D123" s="6" t="inlineStr">
        <is>
          <t>Horstmann EARTH Zero Flag EFI with Mechanical Red Flag (Surface Mount)</t>
        </is>
      </c>
      <c r="E123" s="6" t="inlineStr">
        <is>
          <t>Horstmann EARTH Zero Flag (SM)</t>
        </is>
      </c>
      <c r="F123" s="6" t="inlineStr">
        <is>
          <t>Direction: Non-Directional</t>
        </is>
      </c>
      <c r="G123" s="6" t="inlineStr">
        <is>
          <t>Housing: Surface Mount</t>
        </is>
      </c>
      <c r="H123" s="6" t="inlineStr">
        <is>
          <t>Ingress: IP65</t>
        </is>
      </c>
      <c r="I123" s="6" t="inlineStr">
        <is>
          <t>Power: RED LED + RED Mech Flag</t>
        </is>
      </c>
      <c r="J123" s="6" t="inlineStr">
        <is>
          <t>Features: 2x Changeover Relays</t>
        </is>
      </c>
      <c r="K123" s="6" t="inlineStr">
        <is>
          <t>Fault Indicator</t>
        </is>
      </c>
      <c r="L123" s="6" t="inlineStr">
        <is>
          <t>Standard Stock</t>
        </is>
      </c>
      <c r="M123" s="6" t="inlineStr">
        <is>
          <t>EARTH Zero Flag (SM)</t>
        </is>
      </c>
      <c r="N123" s="7" t="n"/>
      <c r="O123" s="8" t="inlineStr">
        <is>
          <t>Upon request</t>
        </is>
      </c>
      <c r="P123" s="8">
        <f>IF(ISNUMBER(O123),O123*(1-N123),O123)</f>
        <v/>
      </c>
      <c r="Q123" s="6" t="inlineStr">
        <is>
          <t>Horstmann EFI Series</t>
        </is>
      </c>
      <c r="R123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3" s="6" t="inlineStr">
        <is>
          <t>Aegis Plus Load Break Switches (L function) &amp; Cable Compartments</t>
        </is>
      </c>
      <c r="T123" s="5" t="n">
        <v>1</v>
      </c>
      <c r="U123" s="6" t="inlineStr">
        <is>
          <t>Rapid location and isolation of network faults for smart grid automation</t>
        </is>
      </c>
      <c r="V123" s="5" t="n">
        <v>27</v>
      </c>
    </row>
    <row r="124" ht="20" customHeight="1">
      <c r="A124" s="9" t="n">
        <v>120</v>
      </c>
      <c r="B124" s="10" t="inlineStr">
        <is>
          <t>Horstmann</t>
        </is>
      </c>
      <c r="C124" s="10" t="inlineStr">
        <is>
          <t>Earth Fault Indicators (EFI)</t>
        </is>
      </c>
      <c r="D124" s="10" t="inlineStr">
        <is>
          <t>Horstmann EARTH 4.0 Advanced Earth Fault Indicator with Low Battery LED</t>
        </is>
      </c>
      <c r="E124" s="10" t="inlineStr">
        <is>
          <t>Horstmann EARTH 4.0</t>
        </is>
      </c>
      <c r="F124" s="10" t="inlineStr">
        <is>
          <t>Direction: Non-Directional</t>
        </is>
      </c>
      <c r="G124" s="10" t="inlineStr">
        <is>
          <t>Housing: Surface Mount</t>
        </is>
      </c>
      <c r="H124" s="10" t="inlineStr">
        <is>
          <t>Ingress: IP65</t>
        </is>
      </c>
      <c r="I124" s="10" t="inlineStr">
        <is>
          <t>Power: Super Bright RED LED</t>
        </is>
      </c>
      <c r="J124" s="10" t="inlineStr">
        <is>
          <t>Features: 2x NO/NC Relays; Low Batt Ind</t>
        </is>
      </c>
      <c r="K124" s="10" t="inlineStr">
        <is>
          <t>Fault Indicator</t>
        </is>
      </c>
      <c r="L124" s="10" t="inlineStr">
        <is>
          <t>Standard Stock</t>
        </is>
      </c>
      <c r="M124" s="10" t="inlineStr">
        <is>
          <t>EARTH 4.0</t>
        </is>
      </c>
      <c r="N124" s="11" t="n"/>
      <c r="O124" s="12" t="inlineStr">
        <is>
          <t>Upon request</t>
        </is>
      </c>
      <c r="P124" s="12">
        <f>IF(ISNUMBER(O124),O124*(1-N124),O124)</f>
        <v/>
      </c>
      <c r="Q124" s="10" t="inlineStr">
        <is>
          <t>Horstmann EFI Series</t>
        </is>
      </c>
      <c r="R124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4" s="10" t="inlineStr">
        <is>
          <t>Aegis Plus Load Break Switches (L function) &amp; Cable Compartments</t>
        </is>
      </c>
      <c r="T124" s="9" t="n">
        <v>1</v>
      </c>
      <c r="U124" s="10" t="inlineStr">
        <is>
          <t>Rapid location and isolation of network faults for smart grid automation</t>
        </is>
      </c>
      <c r="V124" s="9" t="n">
        <v>27</v>
      </c>
    </row>
    <row r="125" ht="20" customHeight="1">
      <c r="A125" s="5" t="n">
        <v>121</v>
      </c>
      <c r="B125" s="6" t="inlineStr">
        <is>
          <t>SupaRule</t>
        </is>
      </c>
      <c r="C125" s="6" t="inlineStr">
        <is>
          <t>Earth Fault Indicators (EFI)</t>
        </is>
      </c>
      <c r="D125" s="6" t="inlineStr">
        <is>
          <t>SupaRule Sensorform BLZ-50 Battery Powered EFI with LED Indication</t>
        </is>
      </c>
      <c r="E125" s="6" t="inlineStr">
        <is>
          <t>SupaRule BLZ-50</t>
        </is>
      </c>
      <c r="F125" s="6" t="inlineStr">
        <is>
          <t>Direction: Non-Directional</t>
        </is>
      </c>
      <c r="G125" s="6" t="inlineStr">
        <is>
          <t>Housing: Fascia Mount</t>
        </is>
      </c>
      <c r="H125" s="6" t="inlineStr">
        <is>
          <t>Ingress: IP65</t>
        </is>
      </c>
      <c r="I125" s="6" t="inlineStr">
        <is>
          <t>Power: 3.6V Lithium 1/2 AA</t>
        </is>
      </c>
      <c r="J125" s="6" t="inlineStr">
        <is>
          <t>Features: LED Indication; 50A Trip</t>
        </is>
      </c>
      <c r="K125" s="6" t="inlineStr">
        <is>
          <t>Fault Indicator</t>
        </is>
      </c>
      <c r="L125" s="6" t="inlineStr">
        <is>
          <t>Standard Stock</t>
        </is>
      </c>
      <c r="M125" s="6" t="inlineStr">
        <is>
          <t>BLZ-50</t>
        </is>
      </c>
      <c r="N125" s="7" t="n"/>
      <c r="O125" s="8" t="inlineStr">
        <is>
          <t>Upon request</t>
        </is>
      </c>
      <c r="P125" s="8">
        <f>IF(ISNUMBER(O125),O125*(1-N125),O125)</f>
        <v/>
      </c>
      <c r="Q125" s="6" t="inlineStr">
        <is>
          <t>SupaRule EFI Series</t>
        </is>
      </c>
      <c r="R125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5" s="6" t="inlineStr">
        <is>
          <t>Aegis Plus Load Break Switches (L function) &amp; Cable Compartments</t>
        </is>
      </c>
      <c r="T125" s="5" t="n">
        <v>1</v>
      </c>
      <c r="U125" s="6" t="inlineStr">
        <is>
          <t>Rapid location and isolation of network faults for smart grid automation</t>
        </is>
      </c>
      <c r="V125" s="5" t="n">
        <v>27</v>
      </c>
    </row>
    <row r="126" ht="20" customHeight="1">
      <c r="A126" s="9" t="n">
        <v>122</v>
      </c>
      <c r="B126" s="10" t="inlineStr">
        <is>
          <t>SupaRule</t>
        </is>
      </c>
      <c r="C126" s="10" t="inlineStr">
        <is>
          <t>Earth Fault Indicators (EFI)</t>
        </is>
      </c>
      <c r="D126" s="10" t="inlineStr">
        <is>
          <t>SupaRule Sensorform BFZ-50 Battery Powered EFI with Mechanical Flag</t>
        </is>
      </c>
      <c r="E126" s="10" t="inlineStr">
        <is>
          <t>SupaRule BFZ-50</t>
        </is>
      </c>
      <c r="F126" s="10" t="inlineStr">
        <is>
          <t>Direction: Non-Directional</t>
        </is>
      </c>
      <c r="G126" s="10" t="inlineStr">
        <is>
          <t>Housing: Fascia Mount</t>
        </is>
      </c>
      <c r="H126" s="10" t="inlineStr">
        <is>
          <t>Ingress: IP65</t>
        </is>
      </c>
      <c r="I126" s="10" t="inlineStr">
        <is>
          <t>Power: 3.6V Lithium 1/2 AA</t>
        </is>
      </c>
      <c r="J126" s="10" t="inlineStr">
        <is>
          <t>Features: Mechanical RED Flag; 50A Trip</t>
        </is>
      </c>
      <c r="K126" s="10" t="inlineStr">
        <is>
          <t>Fault Indicator</t>
        </is>
      </c>
      <c r="L126" s="10" t="inlineStr">
        <is>
          <t>Standard Stock</t>
        </is>
      </c>
      <c r="M126" s="10" t="inlineStr">
        <is>
          <t>BFZ-50</t>
        </is>
      </c>
      <c r="N126" s="11" t="n"/>
      <c r="O126" s="12" t="inlineStr">
        <is>
          <t>Upon request</t>
        </is>
      </c>
      <c r="P126" s="12">
        <f>IF(ISNUMBER(O126),O126*(1-N126),O126)</f>
        <v/>
      </c>
      <c r="Q126" s="10" t="inlineStr">
        <is>
          <t>SupaRule EFI Series</t>
        </is>
      </c>
      <c r="R126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6" s="10" t="inlineStr">
        <is>
          <t>Aegis Plus Load Break Switches (L function) &amp; Cable Compartments</t>
        </is>
      </c>
      <c r="T126" s="9" t="n">
        <v>1</v>
      </c>
      <c r="U126" s="10" t="inlineStr">
        <is>
          <t>Rapid location and isolation of network faults for smart grid automation</t>
        </is>
      </c>
      <c r="V126" s="9" t="n">
        <v>27</v>
      </c>
    </row>
    <row r="127" ht="20" customHeight="1">
      <c r="A127" s="5" t="n">
        <v>123</v>
      </c>
      <c r="B127" s="6" t="inlineStr">
        <is>
          <t>SupaRule</t>
        </is>
      </c>
      <c r="C127" s="6" t="inlineStr">
        <is>
          <t>Earth Fault Indicators (EFI)</t>
        </is>
      </c>
      <c r="D127" s="6" t="inlineStr">
        <is>
          <t>SupaRule Sensorform MFZ-50 Mains Powered EFI (110-240V AC) with Mech Flag</t>
        </is>
      </c>
      <c r="E127" s="6" t="inlineStr">
        <is>
          <t>SupaRule MFZ-50</t>
        </is>
      </c>
      <c r="F127" s="6" t="inlineStr">
        <is>
          <t>Direction: Non-Directional</t>
        </is>
      </c>
      <c r="G127" s="6" t="inlineStr">
        <is>
          <t>Housing: Fascia Mount</t>
        </is>
      </c>
      <c r="H127" s="6" t="inlineStr">
        <is>
          <t>Ingress: IP65</t>
        </is>
      </c>
      <c r="I127" s="6" t="inlineStr">
        <is>
          <t>Power: 110-240V AC Powered</t>
        </is>
      </c>
      <c r="J127" s="6" t="inlineStr">
        <is>
          <t>Features: Mechanical RED Flag; 50A Trip</t>
        </is>
      </c>
      <c r="K127" s="6" t="inlineStr">
        <is>
          <t>Fault Indicator</t>
        </is>
      </c>
      <c r="L127" s="6" t="inlineStr">
        <is>
          <t>Standard Stock</t>
        </is>
      </c>
      <c r="M127" s="6" t="inlineStr">
        <is>
          <t>MFZ-50</t>
        </is>
      </c>
      <c r="N127" s="7" t="n"/>
      <c r="O127" s="8" t="inlineStr">
        <is>
          <t>Upon request</t>
        </is>
      </c>
      <c r="P127" s="8">
        <f>IF(ISNUMBER(O127),O127*(1-N127),O127)</f>
        <v/>
      </c>
      <c r="Q127" s="6" t="inlineStr">
        <is>
          <t>SupaRule EFI Series</t>
        </is>
      </c>
      <c r="R127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7" s="6" t="inlineStr">
        <is>
          <t>Aegis Plus Load Break Switches (L function) &amp; Cable Compartments</t>
        </is>
      </c>
      <c r="T127" s="5" t="n">
        <v>1</v>
      </c>
      <c r="U127" s="6" t="inlineStr">
        <is>
          <t>Rapid location and isolation of network faults for smart grid automation</t>
        </is>
      </c>
      <c r="V127" s="5" t="n">
        <v>27</v>
      </c>
    </row>
    <row r="128" ht="20" customHeight="1">
      <c r="A128" s="9" t="n">
        <v>124</v>
      </c>
      <c r="B128" s="10" t="inlineStr">
        <is>
          <t>SupaRule</t>
        </is>
      </c>
      <c r="C128" s="10" t="inlineStr">
        <is>
          <t>Earth Fault Indicators (EFI)</t>
        </is>
      </c>
      <c r="D128" s="10" t="inlineStr">
        <is>
          <t>SupaRule Sensorform MLZ-50 Mains Powered EFI (110-240V AC) with LED Indication</t>
        </is>
      </c>
      <c r="E128" s="10" t="inlineStr">
        <is>
          <t>SupaRule MLZ-50</t>
        </is>
      </c>
      <c r="F128" s="10" t="inlineStr">
        <is>
          <t>Direction: Non-Directional</t>
        </is>
      </c>
      <c r="G128" s="10" t="inlineStr">
        <is>
          <t>Housing: Fascia Mount</t>
        </is>
      </c>
      <c r="H128" s="10" t="inlineStr">
        <is>
          <t>Ingress: IP65</t>
        </is>
      </c>
      <c r="I128" s="10" t="inlineStr">
        <is>
          <t>Power: 110-240V AC Powered</t>
        </is>
      </c>
      <c r="J128" s="10" t="inlineStr">
        <is>
          <t>Features: LED Indication; 50A Trip</t>
        </is>
      </c>
      <c r="K128" s="10" t="inlineStr">
        <is>
          <t>Fault Indicator</t>
        </is>
      </c>
      <c r="L128" s="10" t="inlineStr">
        <is>
          <t>Standard Stock</t>
        </is>
      </c>
      <c r="M128" s="10" t="inlineStr">
        <is>
          <t>MLZ-50</t>
        </is>
      </c>
      <c r="N128" s="11" t="n"/>
      <c r="O128" s="12" t="inlineStr">
        <is>
          <t>Upon request</t>
        </is>
      </c>
      <c r="P128" s="12">
        <f>IF(ISNUMBER(O128),O128*(1-N128),O128)</f>
        <v/>
      </c>
      <c r="Q128" s="10" t="inlineStr">
        <is>
          <t>SupaRule EFI Series</t>
        </is>
      </c>
      <c r="R128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8" s="10" t="inlineStr">
        <is>
          <t>Aegis Plus Load Break Switches (L function) &amp; Cable Compartments</t>
        </is>
      </c>
      <c r="T128" s="9" t="n">
        <v>1</v>
      </c>
      <c r="U128" s="10" t="inlineStr">
        <is>
          <t>Rapid location and isolation of network faults for smart grid automation</t>
        </is>
      </c>
      <c r="V128" s="9" t="n">
        <v>27</v>
      </c>
    </row>
    <row r="129" ht="20" customHeight="1">
      <c r="A129" s="5" t="n">
        <v>125</v>
      </c>
      <c r="B129" s="6" t="inlineStr">
        <is>
          <t>SupaRule</t>
        </is>
      </c>
      <c r="C129" s="6" t="inlineStr">
        <is>
          <t>Earth Fault Indicators (EFI)</t>
        </is>
      </c>
      <c r="D129" s="6" t="inlineStr">
        <is>
          <t>SupaRule Sensorform CFZ-50 Self-Powered CT-Driven EFI with Mech Flag</t>
        </is>
      </c>
      <c r="E129" s="6" t="inlineStr">
        <is>
          <t>SupaRule CFZ-50</t>
        </is>
      </c>
      <c r="F129" s="6" t="inlineStr">
        <is>
          <t>Direction: Non-Directional</t>
        </is>
      </c>
      <c r="G129" s="6" t="inlineStr">
        <is>
          <t>Housing: Fascia Mount</t>
        </is>
      </c>
      <c r="H129" s="6" t="inlineStr">
        <is>
          <t>Ingress: IP65</t>
        </is>
      </c>
      <c r="I129" s="6" t="inlineStr">
        <is>
          <t>Power: CT Powered</t>
        </is>
      </c>
      <c r="J129" s="6" t="inlineStr">
        <is>
          <t>Features: Mechanical RED Flag; 50A Trip</t>
        </is>
      </c>
      <c r="K129" s="6" t="inlineStr">
        <is>
          <t>Fault Indicator</t>
        </is>
      </c>
      <c r="L129" s="6" t="inlineStr">
        <is>
          <t>Standard Stock</t>
        </is>
      </c>
      <c r="M129" s="6" t="inlineStr">
        <is>
          <t>CFZ-50</t>
        </is>
      </c>
      <c r="N129" s="7" t="n"/>
      <c r="O129" s="8" t="inlineStr">
        <is>
          <t>Upon request</t>
        </is>
      </c>
      <c r="P129" s="8">
        <f>IF(ISNUMBER(O129),O129*(1-N129),O129)</f>
        <v/>
      </c>
      <c r="Q129" s="6" t="inlineStr">
        <is>
          <t>SupaRule EFI Series</t>
        </is>
      </c>
      <c r="R129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29" s="6" t="inlineStr">
        <is>
          <t>Aegis Plus Load Break Switches (L function) &amp; Cable Compartments</t>
        </is>
      </c>
      <c r="T129" s="5" t="n">
        <v>1</v>
      </c>
      <c r="U129" s="6" t="inlineStr">
        <is>
          <t>Rapid location and isolation of network faults for smart grid automation</t>
        </is>
      </c>
      <c r="V129" s="5" t="n">
        <v>27</v>
      </c>
    </row>
    <row r="130" ht="20" customHeight="1">
      <c r="A130" s="9" t="n">
        <v>126</v>
      </c>
      <c r="B130" s="10" t="inlineStr">
        <is>
          <t>SupaRule</t>
        </is>
      </c>
      <c r="C130" s="10" t="inlineStr">
        <is>
          <t>Earth Fault Indicators (EFI)</t>
        </is>
      </c>
      <c r="D130" s="10" t="inlineStr">
        <is>
          <t>SupaRule Sensorform CLZ-50 Self-Powered CT-Driven EFI with LED Indication</t>
        </is>
      </c>
      <c r="E130" s="10" t="inlineStr">
        <is>
          <t>SupaRule CLZ-50</t>
        </is>
      </c>
      <c r="F130" s="10" t="inlineStr">
        <is>
          <t>Direction: Non-Directional</t>
        </is>
      </c>
      <c r="G130" s="10" t="inlineStr">
        <is>
          <t>Housing: Fascia Mount</t>
        </is>
      </c>
      <c r="H130" s="10" t="inlineStr">
        <is>
          <t>Ingress: IP65</t>
        </is>
      </c>
      <c r="I130" s="10" t="inlineStr">
        <is>
          <t>Power: CT Powered</t>
        </is>
      </c>
      <c r="J130" s="10" t="inlineStr">
        <is>
          <t>Features: LED Indication; 50A Trip</t>
        </is>
      </c>
      <c r="K130" s="10" t="inlineStr">
        <is>
          <t>Fault Indicator</t>
        </is>
      </c>
      <c r="L130" s="10" t="inlineStr">
        <is>
          <t>Standard Stock</t>
        </is>
      </c>
      <c r="M130" s="10" t="inlineStr">
        <is>
          <t>CLZ-50</t>
        </is>
      </c>
      <c r="N130" s="11" t="n"/>
      <c r="O130" s="12" t="inlineStr">
        <is>
          <t>Upon request</t>
        </is>
      </c>
      <c r="P130" s="12">
        <f>IF(ISNUMBER(O130),O130*(1-N130),O130)</f>
        <v/>
      </c>
      <c r="Q130" s="10" t="inlineStr">
        <is>
          <t>SupaRule EFI Series</t>
        </is>
      </c>
      <c r="R130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30" s="10" t="inlineStr">
        <is>
          <t>Aegis Plus Load Break Switches (L function) &amp; Cable Compartments</t>
        </is>
      </c>
      <c r="T130" s="9" t="n">
        <v>1</v>
      </c>
      <c r="U130" s="10" t="inlineStr">
        <is>
          <t>Rapid location and isolation of network faults for smart grid automation</t>
        </is>
      </c>
      <c r="V130" s="9" t="n">
        <v>27</v>
      </c>
    </row>
    <row r="131" ht="20" customHeight="1">
      <c r="A131" s="5" t="n">
        <v>127</v>
      </c>
      <c r="B131" s="6" t="inlineStr">
        <is>
          <t>SupaRule</t>
        </is>
      </c>
      <c r="C131" s="6" t="inlineStr">
        <is>
          <t>Earth Fault Indicators (EFI)</t>
        </is>
      </c>
      <c r="D131" s="6" t="inlineStr">
        <is>
          <t>SupaRule Current Sensor CT 100mm Diameter for Sensorform EFI</t>
        </is>
      </c>
      <c r="E131" s="6" t="inlineStr">
        <is>
          <t>SupaRule CT100</t>
        </is>
      </c>
      <c r="F131" s="6" t="inlineStr">
        <is>
          <t>Direction: Sensor</t>
        </is>
      </c>
      <c r="G131" s="6" t="inlineStr">
        <is>
          <t>Housing: Cable Ring CT</t>
        </is>
      </c>
      <c r="H131" s="6" t="inlineStr">
        <is>
          <t>Ingress: IP65</t>
        </is>
      </c>
      <c r="I131" s="6" t="inlineStr">
        <is>
          <t>Power: Diameter 100mm</t>
        </is>
      </c>
      <c r="J131" s="6" t="inlineStr">
        <is>
          <t>Features: Standard Ring CT</t>
        </is>
      </c>
      <c r="K131" s="6" t="inlineStr">
        <is>
          <t>Fault Indicator</t>
        </is>
      </c>
      <c r="L131" s="6" t="inlineStr">
        <is>
          <t>Standard Stock</t>
        </is>
      </c>
      <c r="M131" s="6" t="inlineStr">
        <is>
          <t>CT100</t>
        </is>
      </c>
      <c r="N131" s="7" t="n"/>
      <c r="O131" s="8" t="inlineStr">
        <is>
          <t>Upon request</t>
        </is>
      </c>
      <c r="P131" s="8">
        <f>IF(ISNUMBER(O131),O131*(1-N131),O131)</f>
        <v/>
      </c>
      <c r="Q131" s="6" t="inlineStr">
        <is>
          <t>SupaRule EFI Series</t>
        </is>
      </c>
      <c r="R131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31" s="6" t="inlineStr">
        <is>
          <t>Aegis Plus Load Break Switches (L function) &amp; Cable Compartments</t>
        </is>
      </c>
      <c r="T131" s="5" t="n">
        <v>1</v>
      </c>
      <c r="U131" s="6" t="inlineStr">
        <is>
          <t>Rapid location and isolation of network faults for smart grid automation</t>
        </is>
      </c>
      <c r="V131" s="5" t="n">
        <v>27</v>
      </c>
    </row>
    <row r="132" ht="20" customHeight="1">
      <c r="A132" s="9" t="n">
        <v>128</v>
      </c>
      <c r="B132" s="10" t="inlineStr">
        <is>
          <t>SupaRule</t>
        </is>
      </c>
      <c r="C132" s="10" t="inlineStr">
        <is>
          <t>Earth Fault Indicators (EFI)</t>
        </is>
      </c>
      <c r="D132" s="10" t="inlineStr">
        <is>
          <t>SupaRule Current Sensor CT 150mm Diameter for Sensorform EFI</t>
        </is>
      </c>
      <c r="E132" s="10" t="inlineStr">
        <is>
          <t>SupaRule CT150</t>
        </is>
      </c>
      <c r="F132" s="10" t="inlineStr">
        <is>
          <t>Direction: Sensor</t>
        </is>
      </c>
      <c r="G132" s="10" t="inlineStr">
        <is>
          <t>Housing: Cable Ring CT</t>
        </is>
      </c>
      <c r="H132" s="10" t="inlineStr">
        <is>
          <t>Ingress: IP65</t>
        </is>
      </c>
      <c r="I132" s="10" t="inlineStr">
        <is>
          <t>Power: Diameter 150mm</t>
        </is>
      </c>
      <c r="J132" s="10" t="inlineStr">
        <is>
          <t>Features: Optional Large Ring CT</t>
        </is>
      </c>
      <c r="K132" s="10" t="inlineStr">
        <is>
          <t>Fault Indicator</t>
        </is>
      </c>
      <c r="L132" s="10" t="inlineStr">
        <is>
          <t>Standard Stock</t>
        </is>
      </c>
      <c r="M132" s="10" t="inlineStr">
        <is>
          <t>CT150</t>
        </is>
      </c>
      <c r="N132" s="11" t="n"/>
      <c r="O132" s="12" t="inlineStr">
        <is>
          <t>Upon request</t>
        </is>
      </c>
      <c r="P132" s="12">
        <f>IF(ISNUMBER(O132),O132*(1-N132),O132)</f>
        <v/>
      </c>
      <c r="Q132" s="10" t="inlineStr">
        <is>
          <t>SupaRule EFI Series</t>
        </is>
      </c>
      <c r="R132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32" s="10" t="inlineStr">
        <is>
          <t>Aegis Plus Load Break Switches (L function) &amp; Cable Compartments</t>
        </is>
      </c>
      <c r="T132" s="9" t="n">
        <v>1</v>
      </c>
      <c r="U132" s="10" t="inlineStr">
        <is>
          <t>Rapid location and isolation of network faults for smart grid automation</t>
        </is>
      </c>
      <c r="V132" s="9" t="n">
        <v>27</v>
      </c>
    </row>
    <row r="133" ht="20" customHeight="1">
      <c r="A133" s="5" t="n">
        <v>129</v>
      </c>
      <c r="B133" s="6" t="inlineStr">
        <is>
          <t>SupaRule</t>
        </is>
      </c>
      <c r="C133" s="6" t="inlineStr">
        <is>
          <t>Earth Fault Indicators (EFI)</t>
        </is>
      </c>
      <c r="D133" s="6" t="inlineStr">
        <is>
          <t>SupaRule Current Sensor CT 300mm Diameter for Sensorform EFI</t>
        </is>
      </c>
      <c r="E133" s="6" t="inlineStr">
        <is>
          <t>SupaRule CT300</t>
        </is>
      </c>
      <c r="F133" s="6" t="inlineStr">
        <is>
          <t>Direction: Sensor</t>
        </is>
      </c>
      <c r="G133" s="6" t="inlineStr">
        <is>
          <t>Housing: Cable Ring CT</t>
        </is>
      </c>
      <c r="H133" s="6" t="inlineStr">
        <is>
          <t>Ingress: IP65</t>
        </is>
      </c>
      <c r="I133" s="6" t="inlineStr">
        <is>
          <t>Power: Diameter 300mm</t>
        </is>
      </c>
      <c r="J133" s="6" t="inlineStr">
        <is>
          <t>Features: Optional Extra-Large Ring CT</t>
        </is>
      </c>
      <c r="K133" s="6" t="inlineStr">
        <is>
          <t>Fault Indicator</t>
        </is>
      </c>
      <c r="L133" s="6" t="inlineStr">
        <is>
          <t>Standard Stock</t>
        </is>
      </c>
      <c r="M133" s="6" t="inlineStr">
        <is>
          <t>CT300</t>
        </is>
      </c>
      <c r="N133" s="7" t="n"/>
      <c r="O133" s="8" t="inlineStr">
        <is>
          <t>Upon request</t>
        </is>
      </c>
      <c r="P133" s="8">
        <f>IF(ISNUMBER(O133),O133*(1-N133),O133)</f>
        <v/>
      </c>
      <c r="Q133" s="6" t="inlineStr">
        <is>
          <t>SupaRule EFI Series</t>
        </is>
      </c>
      <c r="R133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S133" s="6" t="inlineStr">
        <is>
          <t>Aegis Plus Load Break Switches (L function) &amp; Cable Compartments</t>
        </is>
      </c>
      <c r="T133" s="5" t="n">
        <v>1</v>
      </c>
      <c r="U133" s="6" t="inlineStr">
        <is>
          <t>Rapid location and isolation of network faults for smart grid automation</t>
        </is>
      </c>
      <c r="V133" s="5" t="n">
        <v>27</v>
      </c>
    </row>
    <row r="134" ht="20" customHeight="1">
      <c r="A134" s="9" t="n">
        <v>130</v>
      </c>
      <c r="B134" s="10" t="inlineStr">
        <is>
          <t>Lucy Electric</t>
        </is>
      </c>
      <c r="C134" s="10" t="inlineStr">
        <is>
          <t>Voltage Detection &amp; Presence (VDS/VPIS)</t>
        </is>
      </c>
      <c r="D134" s="10" t="inlineStr">
        <is>
          <t>Voltage Presence Indication System (VPIS) with Neon Indicators &amp; Push-to-Test</t>
        </is>
      </c>
      <c r="E134" s="10" t="inlineStr">
        <is>
          <t>Lucy Electric VPIS-NEON</t>
        </is>
      </c>
      <c r="F134" s="10" t="inlineStr">
        <is>
          <t>Interface: Neon Indicators</t>
        </is>
      </c>
      <c r="G134" s="10" t="inlineStr">
        <is>
          <t>Power: Push-to-Test Buttons</t>
        </is>
      </c>
      <c r="H134" s="10" t="inlineStr">
        <is>
          <t>Ingress: Phase Comparator Sockets</t>
        </is>
      </c>
      <c r="I134" s="10" t="inlineStr">
        <is>
          <t>Features: Passive Bushing Divider</t>
        </is>
      </c>
      <c r="J134" s="10" t="inlineStr">
        <is>
          <t>Dimensions: Fascia Mounted</t>
        </is>
      </c>
      <c r="K134" s="10" t="inlineStr">
        <is>
          <t>Voltage Indicator</t>
        </is>
      </c>
      <c r="L134" s="10" t="inlineStr">
        <is>
          <t>Standard Stock</t>
        </is>
      </c>
      <c r="M134" s="10" t="inlineStr">
        <is>
          <t>VPIS-NEON</t>
        </is>
      </c>
      <c r="N134" s="11" t="n"/>
      <c r="O134" s="12" t="inlineStr">
        <is>
          <t>Upon request</t>
        </is>
      </c>
      <c r="P134" s="12">
        <f>IF(ISNUMBER(O134),O134*(1-N134),O134)</f>
        <v/>
      </c>
      <c r="Q134" s="10" t="inlineStr">
        <is>
          <t>Lucy Electric VDS/VPIS</t>
        </is>
      </c>
      <c r="R134" s="10" t="inlineStr">
        <is>
          <t>Conforms to IEC 62271-206 (VPIS) and IEC 61243-5 (VDS); Detects presence and absence of voltage; Operating temp: -25°C to +65°C; LRM test sockets for phase sequence comparison</t>
        </is>
      </c>
      <c r="S134" s="10" t="inlineStr">
        <is>
          <t>Aegis Plus Cable Bushings (L, V, T, C, R modules)</t>
        </is>
      </c>
      <c r="T134" s="9" t="n">
        <v>1</v>
      </c>
      <c r="U134" s="10" t="inlineStr">
        <is>
          <t>Enhances operator safety during switching, maintenance and earthing</t>
        </is>
      </c>
      <c r="V134" s="9" t="n">
        <v>28</v>
      </c>
    </row>
    <row r="135" ht="20" customHeight="1">
      <c r="A135" s="5" t="n">
        <v>131</v>
      </c>
      <c r="B135" s="6" t="inlineStr">
        <is>
          <t>Pfisterer</t>
        </is>
      </c>
      <c r="C135" s="6" t="inlineStr">
        <is>
          <t>Voltage Detection &amp; Presence (VDS/VPIS)</t>
        </is>
      </c>
      <c r="D135" s="6" t="inlineStr">
        <is>
          <t>Voltage Presence Indication System (VPIS) with Pfisterer Sockets</t>
        </is>
      </c>
      <c r="E135" s="6" t="inlineStr">
        <is>
          <t>Pfisterer VPIS-PFISTERER</t>
        </is>
      </c>
      <c r="F135" s="6" t="inlineStr">
        <is>
          <t>Interface: Pfisterer Sockets</t>
        </is>
      </c>
      <c r="G135" s="6" t="inlineStr">
        <is>
          <t>Power: External Phase Comparator</t>
        </is>
      </c>
      <c r="H135" s="6" t="inlineStr">
        <is>
          <t>Ingress: Passive Divider</t>
        </is>
      </c>
      <c r="I135" s="6" t="inlineStr">
        <is>
          <t>Features: Bushing Coupled</t>
        </is>
      </c>
      <c r="J135" s="6" t="inlineStr">
        <is>
          <t>Dimensions: Fascia Mounted</t>
        </is>
      </c>
      <c r="K135" s="6" t="inlineStr">
        <is>
          <t>Voltage Indicator</t>
        </is>
      </c>
      <c r="L135" s="6" t="inlineStr">
        <is>
          <t>Standard Stock</t>
        </is>
      </c>
      <c r="M135" s="6" t="inlineStr">
        <is>
          <t>VPIS-PFISTERER</t>
        </is>
      </c>
      <c r="N135" s="7" t="n"/>
      <c r="O135" s="8" t="inlineStr">
        <is>
          <t>Upon request</t>
        </is>
      </c>
      <c r="P135" s="8">
        <f>IF(ISNUMBER(O135),O135*(1-N135),O135)</f>
        <v/>
      </c>
      <c r="Q135" s="6" t="inlineStr">
        <is>
          <t>Pfisterer VDS/VPIS</t>
        </is>
      </c>
      <c r="R135" s="6" t="inlineStr">
        <is>
          <t>Conforms to IEC 62271-206 (VPIS) and IEC 61243-5 (VDS); Detects presence and absence of voltage; Operating temp: -25°C to +65°C; LRM test sockets for phase sequence comparison</t>
        </is>
      </c>
      <c r="S135" s="6" t="inlineStr">
        <is>
          <t>Aegis Plus Cable Bushings (L, V, T, C, R modules)</t>
        </is>
      </c>
      <c r="T135" s="5" t="n">
        <v>1</v>
      </c>
      <c r="U135" s="6" t="inlineStr">
        <is>
          <t>Enhances operator safety during switching, maintenance and earthing</t>
        </is>
      </c>
      <c r="V135" s="5" t="n">
        <v>28</v>
      </c>
    </row>
    <row r="136" ht="20" customHeight="1">
      <c r="A136" s="9" t="n">
        <v>132</v>
      </c>
      <c r="B136" s="10" t="inlineStr">
        <is>
          <t>Jordon</t>
        </is>
      </c>
      <c r="C136" s="10" t="inlineStr">
        <is>
          <t>Voltage Detection &amp; Presence (VDS/VPIS)</t>
        </is>
      </c>
      <c r="D136" s="10" t="inlineStr">
        <is>
          <t>Jordon VPIS Voltage Presence Indicator Module</t>
        </is>
      </c>
      <c r="E136" s="10" t="inlineStr">
        <is>
          <t>Jordon VPIS-JORDON</t>
        </is>
      </c>
      <c r="F136" s="10" t="inlineStr">
        <is>
          <t>Interface: LED Indication</t>
        </is>
      </c>
      <c r="G136" s="10" t="inlineStr">
        <is>
          <t>Power: Continuous Display</t>
        </is>
      </c>
      <c r="H136" s="10" t="inlineStr">
        <is>
          <t>Ingress: Bushing Divider</t>
        </is>
      </c>
      <c r="I136" s="10" t="inlineStr">
        <is>
          <t>Features: Passive</t>
        </is>
      </c>
      <c r="J136" s="10" t="inlineStr">
        <is>
          <t>Dimensions: Fascia Mounted</t>
        </is>
      </c>
      <c r="K136" s="10" t="inlineStr">
        <is>
          <t>Voltage Indicator</t>
        </is>
      </c>
      <c r="L136" s="10" t="inlineStr">
        <is>
          <t>Standard Stock</t>
        </is>
      </c>
      <c r="M136" s="10" t="inlineStr">
        <is>
          <t>VPIS-JORDON</t>
        </is>
      </c>
      <c r="N136" s="11" t="n"/>
      <c r="O136" s="12" t="inlineStr">
        <is>
          <t>Upon request</t>
        </is>
      </c>
      <c r="P136" s="12">
        <f>IF(ISNUMBER(O136),O136*(1-N136),O136)</f>
        <v/>
      </c>
      <c r="Q136" s="10" t="inlineStr">
        <is>
          <t>Jordon VDS/VPIS</t>
        </is>
      </c>
      <c r="R136" s="10" t="inlineStr">
        <is>
          <t>Conforms to IEC 62271-206 (VPIS) and IEC 61243-5 (VDS); Detects presence and absence of voltage; Operating temp: -25°C to +65°C; LRM test sockets for phase sequence comparison</t>
        </is>
      </c>
      <c r="S136" s="10" t="inlineStr">
        <is>
          <t>Aegis Plus Cable Bushings (L, V, T, C, R modules)</t>
        </is>
      </c>
      <c r="T136" s="9" t="n">
        <v>1</v>
      </c>
      <c r="U136" s="10" t="inlineStr">
        <is>
          <t>Enhances operator safety during switching, maintenance and earthing</t>
        </is>
      </c>
      <c r="V136" s="9" t="n">
        <v>28</v>
      </c>
    </row>
    <row r="137" ht="20" customHeight="1">
      <c r="A137" s="5" t="n">
        <v>133</v>
      </c>
      <c r="B137" s="6" t="inlineStr">
        <is>
          <t>Horstmann</t>
        </is>
      </c>
      <c r="C137" s="6" t="inlineStr">
        <is>
          <t>Voltage Detection &amp; Presence (VDS/VPIS)</t>
        </is>
      </c>
      <c r="D137" s="6" t="inlineStr">
        <is>
          <t>Horstmann WEGA 1.2 C Voltage Detecting System (VDS) to IEC 61243-5</t>
        </is>
      </c>
      <c r="E137" s="6" t="inlineStr">
        <is>
          <t>Horstmann WEGA 1.2 C</t>
        </is>
      </c>
      <c r="F137" s="6" t="inlineStr">
        <is>
          <t>Interface: LRM Interface</t>
        </is>
      </c>
      <c r="G137" s="6" t="inlineStr">
        <is>
          <t>Power: Maintenance Free</t>
        </is>
      </c>
      <c r="H137" s="6" t="inlineStr">
        <is>
          <t>Ingress: IP54</t>
        </is>
      </c>
      <c r="I137" s="6" t="inlineStr">
        <is>
          <t>Features: Auto Integrated Test</t>
        </is>
      </c>
      <c r="J137" s="6" t="inlineStr">
        <is>
          <t>Dimensions: 96 x 48 x 20 mm</t>
        </is>
      </c>
      <c r="K137" s="6" t="inlineStr">
        <is>
          <t>Voltage Indicator</t>
        </is>
      </c>
      <c r="L137" s="6" t="inlineStr">
        <is>
          <t>Standard Stock</t>
        </is>
      </c>
      <c r="M137" s="6" t="inlineStr">
        <is>
          <t>WEGA 1.2 C</t>
        </is>
      </c>
      <c r="N137" s="7" t="n"/>
      <c r="O137" s="8" t="inlineStr">
        <is>
          <t>Upon request</t>
        </is>
      </c>
      <c r="P137" s="8">
        <f>IF(ISNUMBER(O137),O137*(1-N137),O137)</f>
        <v/>
      </c>
      <c r="Q137" s="6" t="inlineStr">
        <is>
          <t>Horstmann VDS/VPIS</t>
        </is>
      </c>
      <c r="R137" s="6" t="inlineStr">
        <is>
          <t>Conforms to IEC 62271-206 (VPIS) and IEC 61243-5 (VDS); Detects presence and absence of voltage; Operating temp: -25°C to +65°C; LRM test sockets for phase sequence comparison</t>
        </is>
      </c>
      <c r="S137" s="6" t="inlineStr">
        <is>
          <t>Aegis Plus Cable Bushings (L, V, T, C, R modules)</t>
        </is>
      </c>
      <c r="T137" s="5" t="n">
        <v>1</v>
      </c>
      <c r="U137" s="6" t="inlineStr">
        <is>
          <t>Enhances operator safety during switching, maintenance and earthing</t>
        </is>
      </c>
      <c r="V137" s="5" t="n">
        <v>28</v>
      </c>
    </row>
    <row r="138" ht="20" customHeight="1">
      <c r="A138" s="9" t="n">
        <v>134</v>
      </c>
      <c r="B138" s="10" t="inlineStr">
        <is>
          <t>Horstmann</t>
        </is>
      </c>
      <c r="C138" s="10" t="inlineStr">
        <is>
          <t>Voltage Detection &amp; Presence (VDS/VPIS)</t>
        </is>
      </c>
      <c r="D138" s="10" t="inlineStr">
        <is>
          <t>Horstmann WEGA 2.2 C VDS with Aux Power Supply &amp; Remote Indication Relays</t>
        </is>
      </c>
      <c r="E138" s="10" t="inlineStr">
        <is>
          <t>Horstmann WEGA 2.2 C</t>
        </is>
      </c>
      <c r="F138" s="10" t="inlineStr">
        <is>
          <t>Interface: LRM Interface</t>
        </is>
      </c>
      <c r="G138" s="10" t="inlineStr">
        <is>
          <t>Power: 24-230V AC/DC Aux</t>
        </is>
      </c>
      <c r="H138" s="10" t="inlineStr">
        <is>
          <t>Ingress: IP54</t>
        </is>
      </c>
      <c r="I138" s="10" t="inlineStr">
        <is>
          <t>Features: Relay Output &amp; Aux Contacts</t>
        </is>
      </c>
      <c r="J138" s="10" t="inlineStr">
        <is>
          <t>Dimensions: 96 x 48 x 52 mm</t>
        </is>
      </c>
      <c r="K138" s="10" t="inlineStr">
        <is>
          <t>Voltage Indicator</t>
        </is>
      </c>
      <c r="L138" s="10" t="inlineStr">
        <is>
          <t>Standard Stock</t>
        </is>
      </c>
      <c r="M138" s="10" t="inlineStr">
        <is>
          <t>WEGA 2.2 C</t>
        </is>
      </c>
      <c r="N138" s="11" t="n"/>
      <c r="O138" s="12" t="inlineStr">
        <is>
          <t>Upon request</t>
        </is>
      </c>
      <c r="P138" s="12">
        <f>IF(ISNUMBER(O138),O138*(1-N138),O138)</f>
        <v/>
      </c>
      <c r="Q138" s="10" t="inlineStr">
        <is>
          <t>Horstmann VDS/VPIS</t>
        </is>
      </c>
      <c r="R138" s="10" t="inlineStr">
        <is>
          <t>Conforms to IEC 62271-206 (VPIS) and IEC 61243-5 (VDS); Detects presence and absence of voltage; Operating temp: -25°C to +65°C; LRM test sockets for phase sequence comparison</t>
        </is>
      </c>
      <c r="S138" s="10" t="inlineStr">
        <is>
          <t>Aegis Plus Cable Bushings (L, V, T, C, R modules)</t>
        </is>
      </c>
      <c r="T138" s="9" t="n">
        <v>1</v>
      </c>
      <c r="U138" s="10" t="inlineStr">
        <is>
          <t>Enhances operator safety during switching, maintenance and earthing</t>
        </is>
      </c>
      <c r="V138" s="9" t="n">
        <v>28</v>
      </c>
    </row>
    <row r="139" ht="20" customHeight="1">
      <c r="A139" s="5" t="n">
        <v>135</v>
      </c>
      <c r="B139" s="6" t="inlineStr">
        <is>
          <t>Horstmann</t>
        </is>
      </c>
      <c r="C139" s="6" t="inlineStr">
        <is>
          <t>Voltage Detection &amp; Presence (VDS/VPIS)</t>
        </is>
      </c>
      <c r="D139" s="6" t="inlineStr">
        <is>
          <t>Horstmann WEGA 1.2 C vario VDS with Pluggable Capacitor Cube</t>
        </is>
      </c>
      <c r="E139" s="6" t="inlineStr">
        <is>
          <t>Horstmann WEGA 1.2 C vario</t>
        </is>
      </c>
      <c r="F139" s="6" t="inlineStr">
        <is>
          <t>Interface: LRM Interface</t>
        </is>
      </c>
      <c r="G139" s="6" t="inlineStr">
        <is>
          <t>Power: Pluggable Capacitor Cube</t>
        </is>
      </c>
      <c r="H139" s="6" t="inlineStr">
        <is>
          <t>Ingress: IP54</t>
        </is>
      </c>
      <c r="I139" s="6" t="inlineStr">
        <is>
          <t>Features: Adjustable Capacitance</t>
        </is>
      </c>
      <c r="J139" s="6" t="inlineStr">
        <is>
          <t>Dimensions: 96 x 48 x 38 mm</t>
        </is>
      </c>
      <c r="K139" s="6" t="inlineStr">
        <is>
          <t>Voltage Indicator</t>
        </is>
      </c>
      <c r="L139" s="6" t="inlineStr">
        <is>
          <t>Standard Stock</t>
        </is>
      </c>
      <c r="M139" s="6" t="inlineStr">
        <is>
          <t>WEGA 1.2 C vario</t>
        </is>
      </c>
      <c r="N139" s="7" t="n"/>
      <c r="O139" s="8" t="inlineStr">
        <is>
          <t>Upon request</t>
        </is>
      </c>
      <c r="P139" s="8">
        <f>IF(ISNUMBER(O139),O139*(1-N139),O139)</f>
        <v/>
      </c>
      <c r="Q139" s="6" t="inlineStr">
        <is>
          <t>Horstmann VDS/VPIS</t>
        </is>
      </c>
      <c r="R139" s="6" t="inlineStr">
        <is>
          <t>Conforms to IEC 62271-206 (VPIS) and IEC 61243-5 (VDS); Detects presence and absence of voltage; Operating temp: -25°C to +65°C; LRM test sockets for phase sequence comparison</t>
        </is>
      </c>
      <c r="S139" s="6" t="inlineStr">
        <is>
          <t>Aegis Plus Cable Bushings (L, V, T, C, R modules)</t>
        </is>
      </c>
      <c r="T139" s="5" t="n">
        <v>1</v>
      </c>
      <c r="U139" s="6" t="inlineStr">
        <is>
          <t>Enhances operator safety during switching, maintenance and earthing</t>
        </is>
      </c>
      <c r="V139" s="5" t="n">
        <v>28</v>
      </c>
    </row>
    <row r="140" ht="20" customHeight="1">
      <c r="A140" s="9" t="n">
        <v>136</v>
      </c>
      <c r="B140" s="10" t="inlineStr">
        <is>
          <t>Horstmann</t>
        </is>
      </c>
      <c r="C140" s="10" t="inlineStr">
        <is>
          <t>Voltage Detection &amp; Presence (VDS/VPIS)</t>
        </is>
      </c>
      <c r="D140" s="10" t="inlineStr">
        <is>
          <t>Horstmann WEGA 3 Voltage Detection System with LRM Test Point</t>
        </is>
      </c>
      <c r="E140" s="10" t="inlineStr">
        <is>
          <t>Horstmann WEGA 3</t>
        </is>
      </c>
      <c r="F140" s="10" t="inlineStr">
        <is>
          <t>Interface: LRM Test Point</t>
        </is>
      </c>
      <c r="G140" s="10" t="inlineStr">
        <is>
          <t>Power: Maintenance Free</t>
        </is>
      </c>
      <c r="H140" s="10" t="inlineStr">
        <is>
          <t>Ingress: IP54</t>
        </is>
      </c>
      <c r="I140" s="10" t="inlineStr">
        <is>
          <t>Features: Phase Comparator Test Sockets</t>
        </is>
      </c>
      <c r="J140" s="10" t="inlineStr">
        <is>
          <t>Dimensions: 96 x 48 x 20 mm</t>
        </is>
      </c>
      <c r="K140" s="10" t="inlineStr">
        <is>
          <t>Voltage Indicator</t>
        </is>
      </c>
      <c r="L140" s="10" t="inlineStr">
        <is>
          <t>Standard Stock</t>
        </is>
      </c>
      <c r="M140" s="10" t="inlineStr">
        <is>
          <t>WEGA 3</t>
        </is>
      </c>
      <c r="N140" s="11" t="n"/>
      <c r="O140" s="12" t="inlineStr">
        <is>
          <t>Upon request</t>
        </is>
      </c>
      <c r="P140" s="12">
        <f>IF(ISNUMBER(O140),O140*(1-N140),O140)</f>
        <v/>
      </c>
      <c r="Q140" s="10" t="inlineStr">
        <is>
          <t>Horstmann VDS/VPIS</t>
        </is>
      </c>
      <c r="R140" s="10" t="inlineStr">
        <is>
          <t>Conforms to IEC 62271-206 (VPIS) and IEC 61243-5 (VDS); Detects presence and absence of voltage; Operating temp: -25°C to +65°C; LRM test sockets for phase sequence comparison</t>
        </is>
      </c>
      <c r="S140" s="10" t="inlineStr">
        <is>
          <t>Aegis Plus Cable Bushings (L, V, T, C, R modules)</t>
        </is>
      </c>
      <c r="T140" s="9" t="n">
        <v>1</v>
      </c>
      <c r="U140" s="10" t="inlineStr">
        <is>
          <t>Enhances operator safety during switching, maintenance and earthing</t>
        </is>
      </c>
      <c r="V140" s="9" t="n">
        <v>28</v>
      </c>
    </row>
    <row r="141" ht="20" customHeight="1">
      <c r="A141" s="5" t="n">
        <v>137</v>
      </c>
      <c r="B141" s="6" t="inlineStr">
        <is>
          <t>Kries</t>
        </is>
      </c>
      <c r="C141" s="6" t="inlineStr">
        <is>
          <t>Voltage Detection &amp; Presence (VDS/VPIS)</t>
        </is>
      </c>
      <c r="D141" s="6" t="inlineStr">
        <is>
          <t>Kries Capdis S1+ (R4) Voltage Detecting and Monitoring System</t>
        </is>
      </c>
      <c r="E141" s="6" t="inlineStr">
        <is>
          <t>Kries Capdis S1+ (R4)</t>
        </is>
      </c>
      <c r="F141" s="6" t="inlineStr">
        <is>
          <t>Interface: LCD Display</t>
        </is>
      </c>
      <c r="G141" s="6" t="inlineStr">
        <is>
          <t>Power: Self &amp; Maint Tests</t>
        </is>
      </c>
      <c r="H141" s="6" t="inlineStr">
        <is>
          <t>Ingress: IP54</t>
        </is>
      </c>
      <c r="I141" s="6" t="inlineStr">
        <is>
          <t>Features: Broken Lead &amp; Overvoltage Ind</t>
        </is>
      </c>
      <c r="J141" s="6" t="inlineStr">
        <is>
          <t>Dimensions: Integrated VDS</t>
        </is>
      </c>
      <c r="K141" s="6" t="inlineStr">
        <is>
          <t>Voltage Indicator</t>
        </is>
      </c>
      <c r="L141" s="6" t="inlineStr">
        <is>
          <t>Standard Stock</t>
        </is>
      </c>
      <c r="M141" s="6" t="inlineStr">
        <is>
          <t>Capdis S1+ (R4)</t>
        </is>
      </c>
      <c r="N141" s="7" t="n"/>
      <c r="O141" s="8" t="inlineStr">
        <is>
          <t>Upon request</t>
        </is>
      </c>
      <c r="P141" s="8">
        <f>IF(ISNUMBER(O141),O141*(1-N141),O141)</f>
        <v/>
      </c>
      <c r="Q141" s="6" t="inlineStr">
        <is>
          <t>Kries VDS/VPIS</t>
        </is>
      </c>
      <c r="R141" s="6" t="inlineStr">
        <is>
          <t>Conforms to IEC 62271-206 (VPIS) and IEC 61243-5 (VDS); Detects presence and absence of voltage; Operating temp: -25°C to +65°C; LRM test sockets for phase sequence comparison</t>
        </is>
      </c>
      <c r="S141" s="6" t="inlineStr">
        <is>
          <t>Aegis Plus Cable Bushings (L, V, T, C, R modules)</t>
        </is>
      </c>
      <c r="T141" s="5" t="n">
        <v>1</v>
      </c>
      <c r="U141" s="6" t="inlineStr">
        <is>
          <t>Enhances operator safety during switching, maintenance and earthing</t>
        </is>
      </c>
      <c r="V141" s="5" t="n">
        <v>29</v>
      </c>
    </row>
    <row r="142" ht="20" customHeight="1">
      <c r="A142" s="9" t="n">
        <v>138</v>
      </c>
      <c r="B142" s="10" t="inlineStr">
        <is>
          <t>Kries</t>
        </is>
      </c>
      <c r="C142" s="10" t="inlineStr">
        <is>
          <t>Voltage Detection &amp; Presence (VDS/VPIS)</t>
        </is>
      </c>
      <c r="D142" s="10" t="inlineStr">
        <is>
          <t>Kries Capdis S2+ (R4) VDS with Earth Switch Interlock &amp; 2 Relay Outputs</t>
        </is>
      </c>
      <c r="E142" s="10" t="inlineStr">
        <is>
          <t>Kries Capdis S2+ (R4)</t>
        </is>
      </c>
      <c r="F142" s="10" t="inlineStr">
        <is>
          <t>Interface: LCD + LED Display</t>
        </is>
      </c>
      <c r="G142" s="10" t="inlineStr">
        <is>
          <t>Power: 2 Changeover Relays</t>
        </is>
      </c>
      <c r="H142" s="10" t="inlineStr">
        <is>
          <t>Ingress: IP54</t>
        </is>
      </c>
      <c r="I142" s="10" t="inlineStr">
        <is>
          <t>Features: Earth Switch Interlock; 24-230V</t>
        </is>
      </c>
      <c r="J142" s="10" t="inlineStr">
        <is>
          <t>Dimensions: Integrated VDS</t>
        </is>
      </c>
      <c r="K142" s="10" t="inlineStr">
        <is>
          <t>Voltage Indicator</t>
        </is>
      </c>
      <c r="L142" s="10" t="inlineStr">
        <is>
          <t>Standard Stock</t>
        </is>
      </c>
      <c r="M142" s="10" t="inlineStr">
        <is>
          <t>Capdis S2+ (R4)</t>
        </is>
      </c>
      <c r="N142" s="11" t="n"/>
      <c r="O142" s="12" t="inlineStr">
        <is>
          <t>Upon request</t>
        </is>
      </c>
      <c r="P142" s="12">
        <f>IF(ISNUMBER(O142),O142*(1-N142),O142)</f>
        <v/>
      </c>
      <c r="Q142" s="10" t="inlineStr">
        <is>
          <t>Kries VDS/VPIS</t>
        </is>
      </c>
      <c r="R142" s="10" t="inlineStr">
        <is>
          <t>Conforms to IEC 62271-206 (VPIS) and IEC 61243-5 (VDS); Detects presence and absence of voltage; Operating temp: -25°C to +65°C; LRM test sockets for phase sequence comparison</t>
        </is>
      </c>
      <c r="S142" s="10" t="inlineStr">
        <is>
          <t>Aegis Plus Cable Bushings (L, V, T, C, R modules)</t>
        </is>
      </c>
      <c r="T142" s="9" t="n">
        <v>1</v>
      </c>
      <c r="U142" s="10" t="inlineStr">
        <is>
          <t>Enhances operator safety during switching, maintenance and earthing</t>
        </is>
      </c>
      <c r="V142" s="9" t="n">
        <v>29</v>
      </c>
    </row>
    <row r="143" ht="20" customHeight="1">
      <c r="A143" s="5" t="n">
        <v>139</v>
      </c>
      <c r="B143" s="6" t="inlineStr">
        <is>
          <t>TE Raychem</t>
        </is>
      </c>
      <c r="C143" s="6" t="inlineStr">
        <is>
          <t>Cable Bushings &amp; Connectors</t>
        </is>
      </c>
      <c r="D143" s="6" t="inlineStr">
        <is>
          <t>TE Raychem RICS-3133 Insulated T-Adapter Kit for 70-150 mm² Polymeric Cables</t>
        </is>
      </c>
      <c r="E143" s="6" t="inlineStr">
        <is>
          <t>RICS-3133 (70 - 150 mm²)</t>
        </is>
      </c>
      <c r="F143" s="6" t="inlineStr">
        <is>
          <t>Cross Section: 70 - 150 mm²</t>
        </is>
      </c>
      <c r="G143" s="6" t="inlineStr">
        <is>
          <t>Voltage: Up to 12kV</t>
        </is>
      </c>
      <c r="H143" s="6" t="inlineStr">
        <is>
          <t>Bushing: DIN 400 Type C</t>
        </is>
      </c>
      <c r="I143" s="6" t="inlineStr">
        <is>
          <t>Termination: IXSU-F3131-ML-2-17</t>
        </is>
      </c>
      <c r="J143" s="6" t="inlineStr">
        <is>
          <t>Material: Elastomeric</t>
        </is>
      </c>
      <c r="K143" s="6" t="inlineStr">
        <is>
          <t>Cable Adapter Kit</t>
        </is>
      </c>
      <c r="L143" s="6" t="inlineStr">
        <is>
          <t>Stocked</t>
        </is>
      </c>
      <c r="M143" s="6" t="inlineStr">
        <is>
          <t>RICS-3133-ML-2-17</t>
        </is>
      </c>
      <c r="N143" s="7" t="n"/>
      <c r="O143" s="8" t="inlineStr">
        <is>
          <t>Upon request</t>
        </is>
      </c>
      <c r="P143" s="8">
        <f>IF(ISNUMBER(O143),O143*(1-N143),O143)</f>
        <v/>
      </c>
      <c r="Q143" s="6" t="inlineStr">
        <is>
          <t>TE Raychem RICS</t>
        </is>
      </c>
      <c r="R143" s="6" t="inlineStr">
        <is>
          <t>According to EN 50181 Type C; Thick-walled insulating elastomer adapter; Fits standard DIN 400 Type C bushings with M16 bolts; Includes mechanical lugs</t>
        </is>
      </c>
      <c r="S143" s="6" t="inlineStr">
        <is>
          <t>Aegis Plus DIN 400 Type C Bushings (up to 12kV)</t>
        </is>
      </c>
      <c r="T143" s="5" t="inlineStr">
        <is>
          <t>3 pcs/set</t>
        </is>
      </c>
      <c r="U143" s="6" t="inlineStr">
        <is>
          <t>Compact profile, tool-free push-on installation over cable termination</t>
        </is>
      </c>
      <c r="V143" s="5" t="n">
        <v>30</v>
      </c>
    </row>
    <row r="144" ht="20" customHeight="1">
      <c r="A144" s="9" t="n">
        <v>140</v>
      </c>
      <c r="B144" s="10" t="inlineStr">
        <is>
          <t>TE Raychem</t>
        </is>
      </c>
      <c r="C144" s="10" t="inlineStr">
        <is>
          <t>Cable Bushings &amp; Connectors</t>
        </is>
      </c>
      <c r="D144" s="10" t="inlineStr">
        <is>
          <t>TE Raychem RICS-3133 Insulated T-Adapter Kit for 95-240 mm² Polymeric Cables</t>
        </is>
      </c>
      <c r="E144" s="10" t="inlineStr">
        <is>
          <t>RICS-3133 (95 - 240 mm²)</t>
        </is>
      </c>
      <c r="F144" s="10" t="inlineStr">
        <is>
          <t>Cross Section: 95 - 240 mm²</t>
        </is>
      </c>
      <c r="G144" s="10" t="inlineStr">
        <is>
          <t>Voltage: Up to 12kV</t>
        </is>
      </c>
      <c r="H144" s="10" t="inlineStr">
        <is>
          <t>Bushing: DIN 400 Type C</t>
        </is>
      </c>
      <c r="I144" s="10" t="inlineStr">
        <is>
          <t>Termination: IXSU-F3131-ML-4-17</t>
        </is>
      </c>
      <c r="J144" s="10" t="inlineStr">
        <is>
          <t>Material: Elastomeric</t>
        </is>
      </c>
      <c r="K144" s="10" t="inlineStr">
        <is>
          <t>Cable Adapter Kit</t>
        </is>
      </c>
      <c r="L144" s="10" t="inlineStr">
        <is>
          <t>Stocked</t>
        </is>
      </c>
      <c r="M144" s="10" t="inlineStr">
        <is>
          <t>RICS-3133-ML-4-17</t>
        </is>
      </c>
      <c r="N144" s="11" t="n"/>
      <c r="O144" s="12" t="inlineStr">
        <is>
          <t>Upon request</t>
        </is>
      </c>
      <c r="P144" s="12">
        <f>IF(ISNUMBER(O144),O144*(1-N144),O144)</f>
        <v/>
      </c>
      <c r="Q144" s="10" t="inlineStr">
        <is>
          <t>TE Raychem RICS</t>
        </is>
      </c>
      <c r="R144" s="10" t="inlineStr">
        <is>
          <t>According to EN 50181 Type C; Thick-walled insulating elastomer adapter; Fits standard DIN 400 Type C bushings with M16 bolts; Includes mechanical lugs</t>
        </is>
      </c>
      <c r="S144" s="10" t="inlineStr">
        <is>
          <t>Aegis Plus DIN 400 Type C Bushings (up to 12kV)</t>
        </is>
      </c>
      <c r="T144" s="9" t="inlineStr">
        <is>
          <t>3 pcs/set</t>
        </is>
      </c>
      <c r="U144" s="10" t="inlineStr">
        <is>
          <t>Compact profile, tool-free push-on installation over cable termination</t>
        </is>
      </c>
      <c r="V144" s="9" t="n">
        <v>30</v>
      </c>
    </row>
    <row r="145" ht="20" customHeight="1">
      <c r="A145" s="5" t="n">
        <v>141</v>
      </c>
      <c r="B145" s="6" t="inlineStr">
        <is>
          <t>TE Raychem</t>
        </is>
      </c>
      <c r="C145" s="6" t="inlineStr">
        <is>
          <t>Cable Bushings &amp; Connectors</t>
        </is>
      </c>
      <c r="D145" s="6" t="inlineStr">
        <is>
          <t>TE Raychem RICS-3133 Insulated T-Adapter Kit for 120-300 mm² Polymeric Cables</t>
        </is>
      </c>
      <c r="E145" s="6" t="inlineStr">
        <is>
          <t>RICS-3133 (120 - 300 mm²)</t>
        </is>
      </c>
      <c r="F145" s="6" t="inlineStr">
        <is>
          <t>Cross Section: 120 - 300 mm²</t>
        </is>
      </c>
      <c r="G145" s="6" t="inlineStr">
        <is>
          <t>Voltage: Up to 12kV</t>
        </is>
      </c>
      <c r="H145" s="6" t="inlineStr">
        <is>
          <t>Bushing: DIN 400 Type C</t>
        </is>
      </c>
      <c r="I145" s="6" t="inlineStr">
        <is>
          <t>Termination: IXSU-F3131-ML-5-17</t>
        </is>
      </c>
      <c r="J145" s="6" t="inlineStr">
        <is>
          <t>Material: Elastomeric</t>
        </is>
      </c>
      <c r="K145" s="6" t="inlineStr">
        <is>
          <t>Cable Adapter Kit</t>
        </is>
      </c>
      <c r="L145" s="6" t="inlineStr">
        <is>
          <t>Stocked</t>
        </is>
      </c>
      <c r="M145" s="6" t="inlineStr">
        <is>
          <t>RICS-3133-ML-5-17</t>
        </is>
      </c>
      <c r="N145" s="7" t="n"/>
      <c r="O145" s="8" t="inlineStr">
        <is>
          <t>Upon request</t>
        </is>
      </c>
      <c r="P145" s="8">
        <f>IF(ISNUMBER(O145),O145*(1-N145),O145)</f>
        <v/>
      </c>
      <c r="Q145" s="6" t="inlineStr">
        <is>
          <t>TE Raychem RICS</t>
        </is>
      </c>
      <c r="R145" s="6" t="inlineStr">
        <is>
          <t>According to EN 50181 Type C; Thick-walled insulating elastomer adapter; Fits standard DIN 400 Type C bushings with M16 bolts; Includes mechanical lugs</t>
        </is>
      </c>
      <c r="S145" s="6" t="inlineStr">
        <is>
          <t>Aegis Plus DIN 400 Type C Bushings (up to 12kV)</t>
        </is>
      </c>
      <c r="T145" s="5" t="inlineStr">
        <is>
          <t>3 pcs/set</t>
        </is>
      </c>
      <c r="U145" s="6" t="inlineStr">
        <is>
          <t>Compact profile, tool-free push-on installation over cable termination</t>
        </is>
      </c>
      <c r="V145" s="5" t="n">
        <v>30</v>
      </c>
    </row>
    <row r="146" ht="20" customHeight="1">
      <c r="A146" s="9" t="n">
        <v>142</v>
      </c>
      <c r="B146" s="10" t="inlineStr">
        <is>
          <t>TE Raychem</t>
        </is>
      </c>
      <c r="C146" s="10" t="inlineStr">
        <is>
          <t>Cable Bushings &amp; Connectors</t>
        </is>
      </c>
      <c r="D146" s="10" t="inlineStr">
        <is>
          <t>TE Raychem RSTI-58 Screened Separable Connector 800A with DIN Al Compression Lug (25 mm²)</t>
        </is>
      </c>
      <c r="E146" s="10" t="inlineStr">
        <is>
          <t>RSTI-58 (25 mm² Al)</t>
        </is>
      </c>
      <c r="F146" s="10" t="inlineStr">
        <is>
          <t>Cross Section: 25 mm²</t>
        </is>
      </c>
      <c r="G146" s="10" t="inlineStr">
        <is>
          <t>Current: 800A</t>
        </is>
      </c>
      <c r="H146" s="10" t="inlineStr">
        <is>
          <t>Voltage: Up to 24kV</t>
        </is>
      </c>
      <c r="I146" s="10" t="inlineStr">
        <is>
          <t>Conductor: Aluminum (Al)</t>
        </is>
      </c>
      <c r="J146" s="10" t="inlineStr">
        <is>
          <t>Lug Type: DIN Compression</t>
        </is>
      </c>
      <c r="K146" s="10" t="inlineStr">
        <is>
          <t>Separable Connector</t>
        </is>
      </c>
      <c r="L146" s="10" t="inlineStr">
        <is>
          <t>Stocked</t>
        </is>
      </c>
      <c r="M146" s="10" t="inlineStr">
        <is>
          <t>RSTI-5810</t>
        </is>
      </c>
      <c r="N146" s="11" t="n"/>
      <c r="O146" s="12" t="inlineStr">
        <is>
          <t>Upon request</t>
        </is>
      </c>
      <c r="P146" s="12">
        <f>IF(ISNUMBER(O146),O146*(1-N146),O146)</f>
        <v/>
      </c>
      <c r="Q146" s="10" t="inlineStr">
        <is>
          <t>TE Raychem RSTI-58</t>
        </is>
      </c>
      <c r="R146" s="10" t="inlineStr">
        <is>
          <t>Continuous current: 800A; Voltage rating: up to 24kV; Core insulation dia: 12.7 - 23.4 mm; Outer conductive EPDM screen; M16 threaded connection to DIN 400 Type C bushings</t>
        </is>
      </c>
      <c r="S146" s="10" t="inlineStr">
        <is>
          <t>Aegis Plus DIN 400 Type C Bushings</t>
        </is>
      </c>
      <c r="T146" s="9" t="inlineStr">
        <is>
          <t>3 pcs/set</t>
        </is>
      </c>
      <c r="U146" s="10" t="inlineStr">
        <is>
          <t>Screened touch-proof separable tee connector for polymeric cables</t>
        </is>
      </c>
      <c r="V146" s="9" t="n">
        <v>31</v>
      </c>
    </row>
    <row r="147" ht="20" customHeight="1">
      <c r="A147" s="5" t="n">
        <v>143</v>
      </c>
      <c r="B147" s="6" t="inlineStr">
        <is>
          <t>TE Raychem</t>
        </is>
      </c>
      <c r="C147" s="6" t="inlineStr">
        <is>
          <t>Cable Bushings &amp; Connectors</t>
        </is>
      </c>
      <c r="D147" s="6" t="inlineStr">
        <is>
          <t>TE Raychem RSTI-58 Screened Separable Connector 800A with DIN Cu Compression Lug (25 mm²)</t>
        </is>
      </c>
      <c r="E147" s="6" t="inlineStr">
        <is>
          <t>RSTI-58 (25 mm² Cu)</t>
        </is>
      </c>
      <c r="F147" s="6" t="inlineStr">
        <is>
          <t>Cross Section: 25 mm²</t>
        </is>
      </c>
      <c r="G147" s="6" t="inlineStr">
        <is>
          <t>Current: 800A</t>
        </is>
      </c>
      <c r="H147" s="6" t="inlineStr">
        <is>
          <t>Voltage: Up to 24kV</t>
        </is>
      </c>
      <c r="I147" s="6" t="inlineStr">
        <is>
          <t>Conductor: Copper (Cu)</t>
        </is>
      </c>
      <c r="J147" s="6" t="inlineStr">
        <is>
          <t>Lug Type: DIN Compression</t>
        </is>
      </c>
      <c r="K147" s="6" t="inlineStr">
        <is>
          <t>Separable Connector</t>
        </is>
      </c>
      <c r="L147" s="6" t="inlineStr">
        <is>
          <t>Stocked</t>
        </is>
      </c>
      <c r="M147" s="6" t="inlineStr">
        <is>
          <t>RSTI-5830</t>
        </is>
      </c>
      <c r="N147" s="7" t="n"/>
      <c r="O147" s="8" t="inlineStr">
        <is>
          <t>Upon request</t>
        </is>
      </c>
      <c r="P147" s="8">
        <f>IF(ISNUMBER(O147),O147*(1-N147),O147)</f>
        <v/>
      </c>
      <c r="Q147" s="6" t="inlineStr">
        <is>
          <t>TE Raychem RSTI-58</t>
        </is>
      </c>
      <c r="R147" s="6" t="inlineStr">
        <is>
          <t>Continuous current: 800A; Voltage rating: up to 24kV; Core insulation dia: 12.7 - 23.4 mm; Outer conductive EPDM screen; M16 threaded connection to DIN 400 Type C bushings</t>
        </is>
      </c>
      <c r="S147" s="6" t="inlineStr">
        <is>
          <t>Aegis Plus DIN 400 Type C Bushings</t>
        </is>
      </c>
      <c r="T147" s="5" t="inlineStr">
        <is>
          <t>3 pcs/set</t>
        </is>
      </c>
      <c r="U147" s="6" t="inlineStr">
        <is>
          <t>Screened touch-proof separable tee connector for copper cables</t>
        </is>
      </c>
      <c r="V147" s="5" t="n">
        <v>31</v>
      </c>
    </row>
    <row r="148" ht="20" customHeight="1">
      <c r="A148" s="9" t="n">
        <v>144</v>
      </c>
      <c r="B148" s="10" t="inlineStr">
        <is>
          <t>TE Raychem</t>
        </is>
      </c>
      <c r="C148" s="10" t="inlineStr">
        <is>
          <t>Cable Bushings &amp; Connectors</t>
        </is>
      </c>
      <c r="D148" s="10" t="inlineStr">
        <is>
          <t>TE Raychem RSTI-58 Screened Separable Connector 800A with DIN Al Compression Lug (35 mm²)</t>
        </is>
      </c>
      <c r="E148" s="10" t="inlineStr">
        <is>
          <t>RSTI-58 (35 mm² Al)</t>
        </is>
      </c>
      <c r="F148" s="10" t="inlineStr">
        <is>
          <t>Cross Section: 35 mm²</t>
        </is>
      </c>
      <c r="G148" s="10" t="inlineStr">
        <is>
          <t>Current: 800A</t>
        </is>
      </c>
      <c r="H148" s="10" t="inlineStr">
        <is>
          <t>Voltage: Up to 24kV</t>
        </is>
      </c>
      <c r="I148" s="10" t="inlineStr">
        <is>
          <t>Conductor: Aluminum (Al)</t>
        </is>
      </c>
      <c r="J148" s="10" t="inlineStr">
        <is>
          <t>Lug Type: DIN Compression</t>
        </is>
      </c>
      <c r="K148" s="10" t="inlineStr">
        <is>
          <t>Separable Connector</t>
        </is>
      </c>
      <c r="L148" s="10" t="inlineStr">
        <is>
          <t>Stocked</t>
        </is>
      </c>
      <c r="M148" s="10" t="inlineStr">
        <is>
          <t>RSTI-5811</t>
        </is>
      </c>
      <c r="N148" s="11" t="n"/>
      <c r="O148" s="12" t="inlineStr">
        <is>
          <t>Upon request</t>
        </is>
      </c>
      <c r="P148" s="12">
        <f>IF(ISNUMBER(O148),O148*(1-N148),O148)</f>
        <v/>
      </c>
      <c r="Q148" s="10" t="inlineStr">
        <is>
          <t>TE Raychem RSTI-58</t>
        </is>
      </c>
      <c r="R148" s="10" t="inlineStr">
        <is>
          <t>Continuous current: 800A; Voltage rating: up to 24kV; Core insulation dia: 12.7 - 23.4 mm; Outer conductive EPDM screen; M16 threaded connection to DIN 400 Type C bushings</t>
        </is>
      </c>
      <c r="S148" s="10" t="inlineStr">
        <is>
          <t>Aegis Plus DIN 400 Type C Bushings</t>
        </is>
      </c>
      <c r="T148" s="9" t="inlineStr">
        <is>
          <t>3 pcs/set</t>
        </is>
      </c>
      <c r="U148" s="10" t="inlineStr">
        <is>
          <t>Screened touch-proof separable tee connector for polymeric cables</t>
        </is>
      </c>
      <c r="V148" s="9" t="n">
        <v>31</v>
      </c>
    </row>
    <row r="149" ht="20" customHeight="1">
      <c r="A149" s="5" t="n">
        <v>145</v>
      </c>
      <c r="B149" s="6" t="inlineStr">
        <is>
          <t>TE Raychem</t>
        </is>
      </c>
      <c r="C149" s="6" t="inlineStr">
        <is>
          <t>Cable Bushings &amp; Connectors</t>
        </is>
      </c>
      <c r="D149" s="6" t="inlineStr">
        <is>
          <t>TE Raychem RSTI-58 Screened Separable Connector 800A with DIN Cu Compression Lug (35 mm²)</t>
        </is>
      </c>
      <c r="E149" s="6" t="inlineStr">
        <is>
          <t>RSTI-58 (35 mm² Cu)</t>
        </is>
      </c>
      <c r="F149" s="6" t="inlineStr">
        <is>
          <t>Cross Section: 35 mm²</t>
        </is>
      </c>
      <c r="G149" s="6" t="inlineStr">
        <is>
          <t>Current: 800A</t>
        </is>
      </c>
      <c r="H149" s="6" t="inlineStr">
        <is>
          <t>Voltage: Up to 24kV</t>
        </is>
      </c>
      <c r="I149" s="6" t="inlineStr">
        <is>
          <t>Conductor: Copper (Cu)</t>
        </is>
      </c>
      <c r="J149" s="6" t="inlineStr">
        <is>
          <t>Lug Type: DIN Compression</t>
        </is>
      </c>
      <c r="K149" s="6" t="inlineStr">
        <is>
          <t>Separable Connector</t>
        </is>
      </c>
      <c r="L149" s="6" t="inlineStr">
        <is>
          <t>Stocked</t>
        </is>
      </c>
      <c r="M149" s="6" t="inlineStr">
        <is>
          <t>RSTI-5831</t>
        </is>
      </c>
      <c r="N149" s="7" t="n"/>
      <c r="O149" s="8" t="inlineStr">
        <is>
          <t>Upon request</t>
        </is>
      </c>
      <c r="P149" s="8">
        <f>IF(ISNUMBER(O149),O149*(1-N149),O149)</f>
        <v/>
      </c>
      <c r="Q149" s="6" t="inlineStr">
        <is>
          <t>TE Raychem RSTI-58</t>
        </is>
      </c>
      <c r="R149" s="6" t="inlineStr">
        <is>
          <t>Continuous current: 800A; Voltage rating: up to 24kV; Core insulation dia: 12.7 - 23.4 mm; Outer conductive EPDM screen; M16 threaded connection to DIN 400 Type C bushings</t>
        </is>
      </c>
      <c r="S149" s="6" t="inlineStr">
        <is>
          <t>Aegis Plus DIN 400 Type C Bushings</t>
        </is>
      </c>
      <c r="T149" s="5" t="inlineStr">
        <is>
          <t>3 pcs/set</t>
        </is>
      </c>
      <c r="U149" s="6" t="inlineStr">
        <is>
          <t>Screened touch-proof separable tee connector for copper cables</t>
        </is>
      </c>
      <c r="V149" s="5" t="n">
        <v>31</v>
      </c>
    </row>
    <row r="150" ht="20" customHeight="1">
      <c r="A150" s="9" t="n">
        <v>146</v>
      </c>
      <c r="B150" s="10" t="inlineStr">
        <is>
          <t>TE Raychem</t>
        </is>
      </c>
      <c r="C150" s="10" t="inlineStr">
        <is>
          <t>Cable Bushings &amp; Connectors</t>
        </is>
      </c>
      <c r="D150" s="10" t="inlineStr">
        <is>
          <t>TE Raychem RSTI-58 Screened Separable Connector 800A with DIN Al Compression Lug (50 mm²)</t>
        </is>
      </c>
      <c r="E150" s="10" t="inlineStr">
        <is>
          <t>RSTI-58 (50 mm² Al)</t>
        </is>
      </c>
      <c r="F150" s="10" t="inlineStr">
        <is>
          <t>Cross Section: 50 mm²</t>
        </is>
      </c>
      <c r="G150" s="10" t="inlineStr">
        <is>
          <t>Current: 800A</t>
        </is>
      </c>
      <c r="H150" s="10" t="inlineStr">
        <is>
          <t>Voltage: Up to 24kV</t>
        </is>
      </c>
      <c r="I150" s="10" t="inlineStr">
        <is>
          <t>Conductor: Aluminum (Al)</t>
        </is>
      </c>
      <c r="J150" s="10" t="inlineStr">
        <is>
          <t>Lug Type: DIN Compression</t>
        </is>
      </c>
      <c r="K150" s="10" t="inlineStr">
        <is>
          <t>Separable Connector</t>
        </is>
      </c>
      <c r="L150" s="10" t="inlineStr">
        <is>
          <t>Stocked</t>
        </is>
      </c>
      <c r="M150" s="10" t="inlineStr">
        <is>
          <t>RSTI-5812</t>
        </is>
      </c>
      <c r="N150" s="11" t="n"/>
      <c r="O150" s="12" t="inlineStr">
        <is>
          <t>Upon request</t>
        </is>
      </c>
      <c r="P150" s="12">
        <f>IF(ISNUMBER(O150),O150*(1-N150),O150)</f>
        <v/>
      </c>
      <c r="Q150" s="10" t="inlineStr">
        <is>
          <t>TE Raychem RSTI-58</t>
        </is>
      </c>
      <c r="R150" s="10" t="inlineStr">
        <is>
          <t>Continuous current: 800A; Voltage rating: up to 24kV; Core insulation dia: 12.7 - 23.4 mm; Outer conductive EPDM screen; M16 threaded connection to DIN 400 Type C bushings</t>
        </is>
      </c>
      <c r="S150" s="10" t="inlineStr">
        <is>
          <t>Aegis Plus DIN 400 Type C Bushings</t>
        </is>
      </c>
      <c r="T150" s="9" t="inlineStr">
        <is>
          <t>3 pcs/set</t>
        </is>
      </c>
      <c r="U150" s="10" t="inlineStr">
        <is>
          <t>Screened touch-proof separable tee connector for polymeric cables</t>
        </is>
      </c>
      <c r="V150" s="9" t="n">
        <v>31</v>
      </c>
    </row>
    <row r="151" ht="20" customHeight="1">
      <c r="A151" s="5" t="n">
        <v>147</v>
      </c>
      <c r="B151" s="6" t="inlineStr">
        <is>
          <t>TE Raychem</t>
        </is>
      </c>
      <c r="C151" s="6" t="inlineStr">
        <is>
          <t>Cable Bushings &amp; Connectors</t>
        </is>
      </c>
      <c r="D151" s="6" t="inlineStr">
        <is>
          <t>TE Raychem RSTI-58 Screened Separable Connector 800A with DIN Cu Compression Lug (50 mm²)</t>
        </is>
      </c>
      <c r="E151" s="6" t="inlineStr">
        <is>
          <t>RSTI-58 (50 mm² Cu)</t>
        </is>
      </c>
      <c r="F151" s="6" t="inlineStr">
        <is>
          <t>Cross Section: 50 mm²</t>
        </is>
      </c>
      <c r="G151" s="6" t="inlineStr">
        <is>
          <t>Current: 800A</t>
        </is>
      </c>
      <c r="H151" s="6" t="inlineStr">
        <is>
          <t>Voltage: Up to 24kV</t>
        </is>
      </c>
      <c r="I151" s="6" t="inlineStr">
        <is>
          <t>Conductor: Copper (Cu)</t>
        </is>
      </c>
      <c r="J151" s="6" t="inlineStr">
        <is>
          <t>Lug Type: DIN Compression</t>
        </is>
      </c>
      <c r="K151" s="6" t="inlineStr">
        <is>
          <t>Separable Connector</t>
        </is>
      </c>
      <c r="L151" s="6" t="inlineStr">
        <is>
          <t>Stocked</t>
        </is>
      </c>
      <c r="M151" s="6" t="inlineStr">
        <is>
          <t>RSTI-5832</t>
        </is>
      </c>
      <c r="N151" s="7" t="n"/>
      <c r="O151" s="8" t="inlineStr">
        <is>
          <t>Upon request</t>
        </is>
      </c>
      <c r="P151" s="8">
        <f>IF(ISNUMBER(O151),O151*(1-N151),O151)</f>
        <v/>
      </c>
      <c r="Q151" s="6" t="inlineStr">
        <is>
          <t>TE Raychem RSTI-58</t>
        </is>
      </c>
      <c r="R151" s="6" t="inlineStr">
        <is>
          <t>Continuous current: 800A; Voltage rating: up to 24kV; Core insulation dia: 12.7 - 23.4 mm; Outer conductive EPDM screen; M16 threaded connection to DIN 400 Type C bushings</t>
        </is>
      </c>
      <c r="S151" s="6" t="inlineStr">
        <is>
          <t>Aegis Plus DIN 400 Type C Bushings</t>
        </is>
      </c>
      <c r="T151" s="5" t="inlineStr">
        <is>
          <t>3 pcs/set</t>
        </is>
      </c>
      <c r="U151" s="6" t="inlineStr">
        <is>
          <t>Screened touch-proof separable tee connector for copper cables</t>
        </is>
      </c>
      <c r="V151" s="5" t="n">
        <v>31</v>
      </c>
    </row>
    <row r="152" ht="20" customHeight="1">
      <c r="A152" s="9" t="n">
        <v>148</v>
      </c>
      <c r="B152" s="10" t="inlineStr">
        <is>
          <t>TE Raychem</t>
        </is>
      </c>
      <c r="C152" s="10" t="inlineStr">
        <is>
          <t>Cable Bushings &amp; Connectors</t>
        </is>
      </c>
      <c r="D152" s="10" t="inlineStr">
        <is>
          <t>TE Raychem RSTI-58 Screened Separable Connector 800A with DIN Al Compression Lug (70 mm²)</t>
        </is>
      </c>
      <c r="E152" s="10" t="inlineStr">
        <is>
          <t>RSTI-58 (70 mm² Al)</t>
        </is>
      </c>
      <c r="F152" s="10" t="inlineStr">
        <is>
          <t>Cross Section: 70 mm²</t>
        </is>
      </c>
      <c r="G152" s="10" t="inlineStr">
        <is>
          <t>Current: 800A</t>
        </is>
      </c>
      <c r="H152" s="10" t="inlineStr">
        <is>
          <t>Voltage: Up to 24kV</t>
        </is>
      </c>
      <c r="I152" s="10" t="inlineStr">
        <is>
          <t>Conductor: Aluminum (Al)</t>
        </is>
      </c>
      <c r="J152" s="10" t="inlineStr">
        <is>
          <t>Lug Type: DIN Compression</t>
        </is>
      </c>
      <c r="K152" s="10" t="inlineStr">
        <is>
          <t>Separable Connector</t>
        </is>
      </c>
      <c r="L152" s="10" t="inlineStr">
        <is>
          <t>Stocked</t>
        </is>
      </c>
      <c r="M152" s="10" t="inlineStr">
        <is>
          <t>RSTI-5813</t>
        </is>
      </c>
      <c r="N152" s="11" t="n"/>
      <c r="O152" s="12" t="inlineStr">
        <is>
          <t>Upon request</t>
        </is>
      </c>
      <c r="P152" s="12">
        <f>IF(ISNUMBER(O152),O152*(1-N152),O152)</f>
        <v/>
      </c>
      <c r="Q152" s="10" t="inlineStr">
        <is>
          <t>TE Raychem RSTI-58</t>
        </is>
      </c>
      <c r="R152" s="10" t="inlineStr">
        <is>
          <t>Continuous current: 800A; Voltage rating: up to 24kV; Core insulation dia: 12.7 - 23.4 mm; Outer conductive EPDM screen; M16 threaded connection to DIN 400 Type C bushings</t>
        </is>
      </c>
      <c r="S152" s="10" t="inlineStr">
        <is>
          <t>Aegis Plus DIN 400 Type C Bushings</t>
        </is>
      </c>
      <c r="T152" s="9" t="inlineStr">
        <is>
          <t>3 pcs/set</t>
        </is>
      </c>
      <c r="U152" s="10" t="inlineStr">
        <is>
          <t>Screened touch-proof separable tee connector for polymeric cables</t>
        </is>
      </c>
      <c r="V152" s="9" t="n">
        <v>31</v>
      </c>
    </row>
    <row r="153" ht="20" customHeight="1">
      <c r="A153" s="5" t="n">
        <v>149</v>
      </c>
      <c r="B153" s="6" t="inlineStr">
        <is>
          <t>TE Raychem</t>
        </is>
      </c>
      <c r="C153" s="6" t="inlineStr">
        <is>
          <t>Cable Bushings &amp; Connectors</t>
        </is>
      </c>
      <c r="D153" s="6" t="inlineStr">
        <is>
          <t>TE Raychem RSTI-58 Screened Separable Connector 800A with DIN Cu Compression Lug (70 mm²)</t>
        </is>
      </c>
      <c r="E153" s="6" t="inlineStr">
        <is>
          <t>RSTI-58 (70 mm² Cu)</t>
        </is>
      </c>
      <c r="F153" s="6" t="inlineStr">
        <is>
          <t>Cross Section: 70 mm²</t>
        </is>
      </c>
      <c r="G153" s="6" t="inlineStr">
        <is>
          <t>Current: 800A</t>
        </is>
      </c>
      <c r="H153" s="6" t="inlineStr">
        <is>
          <t>Voltage: Up to 24kV</t>
        </is>
      </c>
      <c r="I153" s="6" t="inlineStr">
        <is>
          <t>Conductor: Copper (Cu)</t>
        </is>
      </c>
      <c r="J153" s="6" t="inlineStr">
        <is>
          <t>Lug Type: DIN Compression</t>
        </is>
      </c>
      <c r="K153" s="6" t="inlineStr">
        <is>
          <t>Separable Connector</t>
        </is>
      </c>
      <c r="L153" s="6" t="inlineStr">
        <is>
          <t>Stocked</t>
        </is>
      </c>
      <c r="M153" s="6" t="inlineStr">
        <is>
          <t>RSTI-5833</t>
        </is>
      </c>
      <c r="N153" s="7" t="n"/>
      <c r="O153" s="8" t="inlineStr">
        <is>
          <t>Upon request</t>
        </is>
      </c>
      <c r="P153" s="8">
        <f>IF(ISNUMBER(O153),O153*(1-N153),O153)</f>
        <v/>
      </c>
      <c r="Q153" s="6" t="inlineStr">
        <is>
          <t>TE Raychem RSTI-58</t>
        </is>
      </c>
      <c r="R153" s="6" t="inlineStr">
        <is>
          <t>Continuous current: 800A; Voltage rating: up to 24kV; Core insulation dia: 12.7 - 23.4 mm; Outer conductive EPDM screen; M16 threaded connection to DIN 400 Type C bushings</t>
        </is>
      </c>
      <c r="S153" s="6" t="inlineStr">
        <is>
          <t>Aegis Plus DIN 400 Type C Bushings</t>
        </is>
      </c>
      <c r="T153" s="5" t="inlineStr">
        <is>
          <t>3 pcs/set</t>
        </is>
      </c>
      <c r="U153" s="6" t="inlineStr">
        <is>
          <t>Screened touch-proof separable tee connector for copper cables</t>
        </is>
      </c>
      <c r="V153" s="5" t="n">
        <v>31</v>
      </c>
    </row>
    <row r="154" ht="20" customHeight="1">
      <c r="A154" s="9" t="n">
        <v>150</v>
      </c>
      <c r="B154" s="10" t="inlineStr">
        <is>
          <t>TE Raychem</t>
        </is>
      </c>
      <c r="C154" s="10" t="inlineStr">
        <is>
          <t>Cable Bushings &amp; Connectors</t>
        </is>
      </c>
      <c r="D154" s="10" t="inlineStr">
        <is>
          <t>TE Raychem RSTI-58 Screened Separable Connector 800A with DIN Al Compression Lug (95 mm² (12kV))</t>
        </is>
      </c>
      <c r="E154" s="10" t="inlineStr">
        <is>
          <t>RSTI-58 (95 mm² (12kV) Al)</t>
        </is>
      </c>
      <c r="F154" s="10" t="inlineStr">
        <is>
          <t>Cross Section: 95 mm² (12kV)</t>
        </is>
      </c>
      <c r="G154" s="10" t="inlineStr">
        <is>
          <t>Current: 800A</t>
        </is>
      </c>
      <c r="H154" s="10" t="inlineStr">
        <is>
          <t>Voltage: Up to 24kV</t>
        </is>
      </c>
      <c r="I154" s="10" t="inlineStr">
        <is>
          <t>Conductor: Aluminum (Al)</t>
        </is>
      </c>
      <c r="J154" s="10" t="inlineStr">
        <is>
          <t>Lug Type: DIN Compression</t>
        </is>
      </c>
      <c r="K154" s="10" t="inlineStr">
        <is>
          <t>Separable Connector</t>
        </is>
      </c>
      <c r="L154" s="10" t="inlineStr">
        <is>
          <t>Stocked</t>
        </is>
      </c>
      <c r="M154" s="10" t="inlineStr">
        <is>
          <t>RSTI-5814</t>
        </is>
      </c>
      <c r="N154" s="11" t="n"/>
      <c r="O154" s="12" t="inlineStr">
        <is>
          <t>Upon request</t>
        </is>
      </c>
      <c r="P154" s="12">
        <f>IF(ISNUMBER(O154),O154*(1-N154),O154)</f>
        <v/>
      </c>
      <c r="Q154" s="10" t="inlineStr">
        <is>
          <t>TE Raychem RSTI-58</t>
        </is>
      </c>
      <c r="R154" s="10" t="inlineStr">
        <is>
          <t>Continuous current: 800A; Voltage rating: up to 24kV; Core insulation dia: 12.7 - 23.4 mm; Outer conductive EPDM screen; M16 threaded connection to DIN 400 Type C bushings</t>
        </is>
      </c>
      <c r="S154" s="10" t="inlineStr">
        <is>
          <t>Aegis Plus DIN 400 Type C Bushings</t>
        </is>
      </c>
      <c r="T154" s="9" t="inlineStr">
        <is>
          <t>3 pcs/set</t>
        </is>
      </c>
      <c r="U154" s="10" t="inlineStr">
        <is>
          <t>Screened touch-proof separable tee connector for polymeric cables</t>
        </is>
      </c>
      <c r="V154" s="9" t="n">
        <v>31</v>
      </c>
    </row>
    <row r="155" ht="20" customHeight="1">
      <c r="A155" s="5" t="n">
        <v>151</v>
      </c>
      <c r="B155" s="6" t="inlineStr">
        <is>
          <t>TE Raychem</t>
        </is>
      </c>
      <c r="C155" s="6" t="inlineStr">
        <is>
          <t>Cable Bushings &amp; Connectors</t>
        </is>
      </c>
      <c r="D155" s="6" t="inlineStr">
        <is>
          <t>TE Raychem RSTI-58 Screened Separable Connector 800A with DIN Cu Compression Lug (95 mm² (12kV))</t>
        </is>
      </c>
      <c r="E155" s="6" t="inlineStr">
        <is>
          <t>RSTI-58 (95 mm² (12kV) Cu)</t>
        </is>
      </c>
      <c r="F155" s="6" t="inlineStr">
        <is>
          <t>Cross Section: 95 mm² (12kV)</t>
        </is>
      </c>
      <c r="G155" s="6" t="inlineStr">
        <is>
          <t>Current: 800A</t>
        </is>
      </c>
      <c r="H155" s="6" t="inlineStr">
        <is>
          <t>Voltage: Up to 24kV</t>
        </is>
      </c>
      <c r="I155" s="6" t="inlineStr">
        <is>
          <t>Conductor: Copper (Cu)</t>
        </is>
      </c>
      <c r="J155" s="6" t="inlineStr">
        <is>
          <t>Lug Type: DIN Compression</t>
        </is>
      </c>
      <c r="K155" s="6" t="inlineStr">
        <is>
          <t>Separable Connector</t>
        </is>
      </c>
      <c r="L155" s="6" t="inlineStr">
        <is>
          <t>Stocked</t>
        </is>
      </c>
      <c r="M155" s="6" t="inlineStr">
        <is>
          <t>RSTI-5834</t>
        </is>
      </c>
      <c r="N155" s="7" t="n"/>
      <c r="O155" s="8" t="inlineStr">
        <is>
          <t>Upon request</t>
        </is>
      </c>
      <c r="P155" s="8">
        <f>IF(ISNUMBER(O155),O155*(1-N155),O155)</f>
        <v/>
      </c>
      <c r="Q155" s="6" t="inlineStr">
        <is>
          <t>TE Raychem RSTI-58</t>
        </is>
      </c>
      <c r="R155" s="6" t="inlineStr">
        <is>
          <t>Continuous current: 800A; Voltage rating: up to 24kV; Core insulation dia: 12.7 - 23.4 mm; Outer conductive EPDM screen; M16 threaded connection to DIN 400 Type C bushings</t>
        </is>
      </c>
      <c r="S155" s="6" t="inlineStr">
        <is>
          <t>Aegis Plus DIN 400 Type C Bushings</t>
        </is>
      </c>
      <c r="T155" s="5" t="inlineStr">
        <is>
          <t>3 pcs/set</t>
        </is>
      </c>
      <c r="U155" s="6" t="inlineStr">
        <is>
          <t>Screened touch-proof separable tee connector for copper cables</t>
        </is>
      </c>
      <c r="V155" s="5" t="n">
        <v>31</v>
      </c>
    </row>
    <row r="156" ht="20" customHeight="1">
      <c r="A156" s="9" t="n">
        <v>152</v>
      </c>
      <c r="B156" s="10" t="inlineStr">
        <is>
          <t>TE Raychem</t>
        </is>
      </c>
      <c r="C156" s="10" t="inlineStr">
        <is>
          <t>Cable Bushings &amp; Connectors</t>
        </is>
      </c>
      <c r="D156" s="10" t="inlineStr">
        <is>
          <t>TE Raychem RSTI-58 Screened Separable Connector 800A with DIN Al Compression Lug (95 mm² (24kV))</t>
        </is>
      </c>
      <c r="E156" s="10" t="inlineStr">
        <is>
          <t>RSTI-58 (95 mm² (24kV) Al)</t>
        </is>
      </c>
      <c r="F156" s="10" t="inlineStr">
        <is>
          <t>Cross Section: 95 mm² (24kV)</t>
        </is>
      </c>
      <c r="G156" s="10" t="inlineStr">
        <is>
          <t>Current: 800A</t>
        </is>
      </c>
      <c r="H156" s="10" t="inlineStr">
        <is>
          <t>Voltage: Up to 24kV</t>
        </is>
      </c>
      <c r="I156" s="10" t="inlineStr">
        <is>
          <t>Conductor: Aluminum (Al)</t>
        </is>
      </c>
      <c r="J156" s="10" t="inlineStr">
        <is>
          <t>Lug Type: DIN Compression</t>
        </is>
      </c>
      <c r="K156" s="10" t="inlineStr">
        <is>
          <t>Separable Connector</t>
        </is>
      </c>
      <c r="L156" s="10" t="inlineStr">
        <is>
          <t>Stocked</t>
        </is>
      </c>
      <c r="M156" s="10" t="inlineStr">
        <is>
          <t>RSTI-5824</t>
        </is>
      </c>
      <c r="N156" s="11" t="n"/>
      <c r="O156" s="12" t="inlineStr">
        <is>
          <t>Upon request</t>
        </is>
      </c>
      <c r="P156" s="12">
        <f>IF(ISNUMBER(O156),O156*(1-N156),O156)</f>
        <v/>
      </c>
      <c r="Q156" s="10" t="inlineStr">
        <is>
          <t>TE Raychem RSTI-58</t>
        </is>
      </c>
      <c r="R156" s="10" t="inlineStr">
        <is>
          <t>Continuous current: 800A; Voltage rating: up to 24kV; Core insulation dia: 21.2 - 34.6 mm; Outer conductive EPDM screen; M16 threaded connection to DIN 400 Type C bushings</t>
        </is>
      </c>
      <c r="S156" s="10" t="inlineStr">
        <is>
          <t>Aegis Plus DIN 400 Type C Bushings</t>
        </is>
      </c>
      <c r="T156" s="9" t="inlineStr">
        <is>
          <t>3 pcs/set</t>
        </is>
      </c>
      <c r="U156" s="10" t="inlineStr">
        <is>
          <t>Screened touch-proof separable tee connector for polymeric cables</t>
        </is>
      </c>
      <c r="V156" s="9" t="n">
        <v>31</v>
      </c>
    </row>
    <row r="157" ht="20" customHeight="1">
      <c r="A157" s="5" t="n">
        <v>153</v>
      </c>
      <c r="B157" s="6" t="inlineStr">
        <is>
          <t>TE Raychem</t>
        </is>
      </c>
      <c r="C157" s="6" t="inlineStr">
        <is>
          <t>Cable Bushings &amp; Connectors</t>
        </is>
      </c>
      <c r="D157" s="6" t="inlineStr">
        <is>
          <t>TE Raychem RSTI-58 Screened Separable Connector 800A with DIN Cu Compression Lug (95 mm² (24kV))</t>
        </is>
      </c>
      <c r="E157" s="6" t="inlineStr">
        <is>
          <t>RSTI-58 (95 mm² (24kV) Cu)</t>
        </is>
      </c>
      <c r="F157" s="6" t="inlineStr">
        <is>
          <t>Cross Section: 95 mm² (24kV)</t>
        </is>
      </c>
      <c r="G157" s="6" t="inlineStr">
        <is>
          <t>Current: 800A</t>
        </is>
      </c>
      <c r="H157" s="6" t="inlineStr">
        <is>
          <t>Voltage: Up to 24kV</t>
        </is>
      </c>
      <c r="I157" s="6" t="inlineStr">
        <is>
          <t>Conductor: Copper (Cu)</t>
        </is>
      </c>
      <c r="J157" s="6" t="inlineStr">
        <is>
          <t>Lug Type: DIN Compression</t>
        </is>
      </c>
      <c r="K157" s="6" t="inlineStr">
        <is>
          <t>Separable Connector</t>
        </is>
      </c>
      <c r="L157" s="6" t="inlineStr">
        <is>
          <t>Stocked</t>
        </is>
      </c>
      <c r="M157" s="6" t="inlineStr">
        <is>
          <t>RSTI-5844</t>
        </is>
      </c>
      <c r="N157" s="7" t="n"/>
      <c r="O157" s="8" t="inlineStr">
        <is>
          <t>Upon request</t>
        </is>
      </c>
      <c r="P157" s="8">
        <f>IF(ISNUMBER(O157),O157*(1-N157),O157)</f>
        <v/>
      </c>
      <c r="Q157" s="6" t="inlineStr">
        <is>
          <t>TE Raychem RSTI-58</t>
        </is>
      </c>
      <c r="R157" s="6" t="inlineStr">
        <is>
          <t>Continuous current: 800A; Voltage rating: up to 24kV; Core insulation dia: 21.2 - 34.6 mm; Outer conductive EPDM screen; M16 threaded connection to DIN 400 Type C bushings</t>
        </is>
      </c>
      <c r="S157" s="6" t="inlineStr">
        <is>
          <t>Aegis Plus DIN 400 Type C Bushings</t>
        </is>
      </c>
      <c r="T157" s="5" t="inlineStr">
        <is>
          <t>3 pcs/set</t>
        </is>
      </c>
      <c r="U157" s="6" t="inlineStr">
        <is>
          <t>Screened touch-proof separable tee connector for copper cables</t>
        </is>
      </c>
      <c r="V157" s="5" t="n">
        <v>31</v>
      </c>
    </row>
    <row r="158" ht="20" customHeight="1">
      <c r="A158" s="9" t="n">
        <v>154</v>
      </c>
      <c r="B158" s="10" t="inlineStr">
        <is>
          <t>TE Raychem</t>
        </is>
      </c>
      <c r="C158" s="10" t="inlineStr">
        <is>
          <t>Cable Bushings &amp; Connectors</t>
        </is>
      </c>
      <c r="D158" s="10" t="inlineStr">
        <is>
          <t>TE Raychem RSTI-58 Screened Separable Connector 800A with DIN Al Compression Lug (120 mm² (12kV))</t>
        </is>
      </c>
      <c r="E158" s="10" t="inlineStr">
        <is>
          <t>RSTI-58 (120 mm² (12kV) Al)</t>
        </is>
      </c>
      <c r="F158" s="10" t="inlineStr">
        <is>
          <t>Cross Section: 120 mm² (12kV)</t>
        </is>
      </c>
      <c r="G158" s="10" t="inlineStr">
        <is>
          <t>Current: 800A</t>
        </is>
      </c>
      <c r="H158" s="10" t="inlineStr">
        <is>
          <t>Voltage: Up to 24kV</t>
        </is>
      </c>
      <c r="I158" s="10" t="inlineStr">
        <is>
          <t>Conductor: Aluminum (Al)</t>
        </is>
      </c>
      <c r="J158" s="10" t="inlineStr">
        <is>
          <t>Lug Type: DIN Compression</t>
        </is>
      </c>
      <c r="K158" s="10" t="inlineStr">
        <is>
          <t>Separable Connector</t>
        </is>
      </c>
      <c r="L158" s="10" t="inlineStr">
        <is>
          <t>Stocked</t>
        </is>
      </c>
      <c r="M158" s="10" t="inlineStr">
        <is>
          <t>RSTI-5815</t>
        </is>
      </c>
      <c r="N158" s="11" t="n"/>
      <c r="O158" s="12" t="inlineStr">
        <is>
          <t>Upon request</t>
        </is>
      </c>
      <c r="P158" s="12">
        <f>IF(ISNUMBER(O158),O158*(1-N158),O158)</f>
        <v/>
      </c>
      <c r="Q158" s="10" t="inlineStr">
        <is>
          <t>TE Raychem RSTI-58</t>
        </is>
      </c>
      <c r="R158" s="10" t="inlineStr">
        <is>
          <t>Continuous current: 800A; Voltage rating: up to 24kV; Core insulation dia: 12.7 - 23.4 mm; Outer conductive EPDM screen; M16 threaded connection to DIN 400 Type C bushings</t>
        </is>
      </c>
      <c r="S158" s="10" t="inlineStr">
        <is>
          <t>Aegis Plus DIN 400 Type C Bushings</t>
        </is>
      </c>
      <c r="T158" s="9" t="inlineStr">
        <is>
          <t>3 pcs/set</t>
        </is>
      </c>
      <c r="U158" s="10" t="inlineStr">
        <is>
          <t>Screened touch-proof separable tee connector for polymeric cables</t>
        </is>
      </c>
      <c r="V158" s="9" t="n">
        <v>31</v>
      </c>
    </row>
    <row r="159" ht="20" customHeight="1">
      <c r="A159" s="5" t="n">
        <v>155</v>
      </c>
      <c r="B159" s="6" t="inlineStr">
        <is>
          <t>TE Raychem</t>
        </is>
      </c>
      <c r="C159" s="6" t="inlineStr">
        <is>
          <t>Cable Bushings &amp; Connectors</t>
        </is>
      </c>
      <c r="D159" s="6" t="inlineStr">
        <is>
          <t>TE Raychem RSTI-58 Screened Separable Connector 800A with DIN Cu Compression Lug (120 mm² (12kV))</t>
        </is>
      </c>
      <c r="E159" s="6" t="inlineStr">
        <is>
          <t>RSTI-58 (120 mm² (12kV) Cu)</t>
        </is>
      </c>
      <c r="F159" s="6" t="inlineStr">
        <is>
          <t>Cross Section: 120 mm² (12kV)</t>
        </is>
      </c>
      <c r="G159" s="6" t="inlineStr">
        <is>
          <t>Current: 800A</t>
        </is>
      </c>
      <c r="H159" s="6" t="inlineStr">
        <is>
          <t>Voltage: Up to 24kV</t>
        </is>
      </c>
      <c r="I159" s="6" t="inlineStr">
        <is>
          <t>Conductor: Copper (Cu)</t>
        </is>
      </c>
      <c r="J159" s="6" t="inlineStr">
        <is>
          <t>Lug Type: DIN Compression</t>
        </is>
      </c>
      <c r="K159" s="6" t="inlineStr">
        <is>
          <t>Separable Connector</t>
        </is>
      </c>
      <c r="L159" s="6" t="inlineStr">
        <is>
          <t>Stocked</t>
        </is>
      </c>
      <c r="M159" s="6" t="inlineStr">
        <is>
          <t>RSTI-5835</t>
        </is>
      </c>
      <c r="N159" s="7" t="n"/>
      <c r="O159" s="8" t="inlineStr">
        <is>
          <t>Upon request</t>
        </is>
      </c>
      <c r="P159" s="8">
        <f>IF(ISNUMBER(O159),O159*(1-N159),O159)</f>
        <v/>
      </c>
      <c r="Q159" s="6" t="inlineStr">
        <is>
          <t>TE Raychem RSTI-58</t>
        </is>
      </c>
      <c r="R159" s="6" t="inlineStr">
        <is>
          <t>Continuous current: 800A; Voltage rating: up to 24kV; Core insulation dia: 12.7 - 23.4 mm; Outer conductive EPDM screen; M16 threaded connection to DIN 400 Type C bushings</t>
        </is>
      </c>
      <c r="S159" s="6" t="inlineStr">
        <is>
          <t>Aegis Plus DIN 400 Type C Bushings</t>
        </is>
      </c>
      <c r="T159" s="5" t="inlineStr">
        <is>
          <t>3 pcs/set</t>
        </is>
      </c>
      <c r="U159" s="6" t="inlineStr">
        <is>
          <t>Screened touch-proof separable tee connector for copper cables</t>
        </is>
      </c>
      <c r="V159" s="5" t="n">
        <v>31</v>
      </c>
    </row>
    <row r="160" ht="20" customHeight="1">
      <c r="A160" s="9" t="n">
        <v>156</v>
      </c>
      <c r="B160" s="10" t="inlineStr">
        <is>
          <t>TE Raychem</t>
        </is>
      </c>
      <c r="C160" s="10" t="inlineStr">
        <is>
          <t>Cable Bushings &amp; Connectors</t>
        </is>
      </c>
      <c r="D160" s="10" t="inlineStr">
        <is>
          <t>TE Raychem RSTI-58 Screened Separable Connector 800A with DIN Al Compression Lug (120 mm² (24kV))</t>
        </is>
      </c>
      <c r="E160" s="10" t="inlineStr">
        <is>
          <t>RSTI-58 (120 mm² (24kV) Al)</t>
        </is>
      </c>
      <c r="F160" s="10" t="inlineStr">
        <is>
          <t>Cross Section: 120 mm² (24kV)</t>
        </is>
      </c>
      <c r="G160" s="10" t="inlineStr">
        <is>
          <t>Current: 800A</t>
        </is>
      </c>
      <c r="H160" s="10" t="inlineStr">
        <is>
          <t>Voltage: Up to 24kV</t>
        </is>
      </c>
      <c r="I160" s="10" t="inlineStr">
        <is>
          <t>Conductor: Aluminum (Al)</t>
        </is>
      </c>
      <c r="J160" s="10" t="inlineStr">
        <is>
          <t>Lug Type: DIN Compression</t>
        </is>
      </c>
      <c r="K160" s="10" t="inlineStr">
        <is>
          <t>Separable Connector</t>
        </is>
      </c>
      <c r="L160" s="10" t="inlineStr">
        <is>
          <t>Stocked</t>
        </is>
      </c>
      <c r="M160" s="10" t="inlineStr">
        <is>
          <t>RSTI-5825</t>
        </is>
      </c>
      <c r="N160" s="11" t="n"/>
      <c r="O160" s="12" t="inlineStr">
        <is>
          <t>Upon request</t>
        </is>
      </c>
      <c r="P160" s="12">
        <f>IF(ISNUMBER(O160),O160*(1-N160),O160)</f>
        <v/>
      </c>
      <c r="Q160" s="10" t="inlineStr">
        <is>
          <t>TE Raychem RSTI-58</t>
        </is>
      </c>
      <c r="R160" s="10" t="inlineStr">
        <is>
          <t>Continuous current: 800A; Voltage rating: up to 24kV; Core insulation dia: 21.2 - 34.6 mm; Outer conductive EPDM screen; M16 threaded connection to DIN 400 Type C bushings</t>
        </is>
      </c>
      <c r="S160" s="10" t="inlineStr">
        <is>
          <t>Aegis Plus DIN 400 Type C Bushings</t>
        </is>
      </c>
      <c r="T160" s="9" t="inlineStr">
        <is>
          <t>3 pcs/set</t>
        </is>
      </c>
      <c r="U160" s="10" t="inlineStr">
        <is>
          <t>Screened touch-proof separable tee connector for polymeric cables</t>
        </is>
      </c>
      <c r="V160" s="9" t="n">
        <v>31</v>
      </c>
    </row>
    <row r="161" ht="20" customHeight="1">
      <c r="A161" s="5" t="n">
        <v>157</v>
      </c>
      <c r="B161" s="6" t="inlineStr">
        <is>
          <t>TE Raychem</t>
        </is>
      </c>
      <c r="C161" s="6" t="inlineStr">
        <is>
          <t>Cable Bushings &amp; Connectors</t>
        </is>
      </c>
      <c r="D161" s="6" t="inlineStr">
        <is>
          <t>TE Raychem RSTI-58 Screened Separable Connector 800A with DIN Cu Compression Lug (120 mm² (24kV))</t>
        </is>
      </c>
      <c r="E161" s="6" t="inlineStr">
        <is>
          <t>RSTI-58 (120 mm² (24kV) Cu)</t>
        </is>
      </c>
      <c r="F161" s="6" t="inlineStr">
        <is>
          <t>Cross Section: 120 mm² (24kV)</t>
        </is>
      </c>
      <c r="G161" s="6" t="inlineStr">
        <is>
          <t>Current: 800A</t>
        </is>
      </c>
      <c r="H161" s="6" t="inlineStr">
        <is>
          <t>Voltage: Up to 24kV</t>
        </is>
      </c>
      <c r="I161" s="6" t="inlineStr">
        <is>
          <t>Conductor: Copper (Cu)</t>
        </is>
      </c>
      <c r="J161" s="6" t="inlineStr">
        <is>
          <t>Lug Type: DIN Compression</t>
        </is>
      </c>
      <c r="K161" s="6" t="inlineStr">
        <is>
          <t>Separable Connector</t>
        </is>
      </c>
      <c r="L161" s="6" t="inlineStr">
        <is>
          <t>Stocked</t>
        </is>
      </c>
      <c r="M161" s="6" t="inlineStr">
        <is>
          <t>RSTI-5845</t>
        </is>
      </c>
      <c r="N161" s="7" t="n"/>
      <c r="O161" s="8" t="inlineStr">
        <is>
          <t>Upon request</t>
        </is>
      </c>
      <c r="P161" s="8">
        <f>IF(ISNUMBER(O161),O161*(1-N161),O161)</f>
        <v/>
      </c>
      <c r="Q161" s="6" t="inlineStr">
        <is>
          <t>TE Raychem RSTI-58</t>
        </is>
      </c>
      <c r="R161" s="6" t="inlineStr">
        <is>
          <t>Continuous current: 800A; Voltage rating: up to 24kV; Core insulation dia: 21.2 - 34.6 mm; Outer conductive EPDM screen; M16 threaded connection to DIN 400 Type C bushings</t>
        </is>
      </c>
      <c r="S161" s="6" t="inlineStr">
        <is>
          <t>Aegis Plus DIN 400 Type C Bushings</t>
        </is>
      </c>
      <c r="T161" s="5" t="inlineStr">
        <is>
          <t>3 pcs/set</t>
        </is>
      </c>
      <c r="U161" s="6" t="inlineStr">
        <is>
          <t>Screened touch-proof separable tee connector for copper cables</t>
        </is>
      </c>
      <c r="V161" s="5" t="n">
        <v>31</v>
      </c>
    </row>
    <row r="162" ht="20" customHeight="1">
      <c r="A162" s="9" t="n">
        <v>158</v>
      </c>
      <c r="B162" s="10" t="inlineStr">
        <is>
          <t>TE Raychem</t>
        </is>
      </c>
      <c r="C162" s="10" t="inlineStr">
        <is>
          <t>Cable Bushings &amp; Connectors</t>
        </is>
      </c>
      <c r="D162" s="10" t="inlineStr">
        <is>
          <t>TE Raychem RSTI-58 Screened Separable Connector 800A with DIN Al Compression Lug (150 mm²)</t>
        </is>
      </c>
      <c r="E162" s="10" t="inlineStr">
        <is>
          <t>RSTI-58 (150 mm² Al)</t>
        </is>
      </c>
      <c r="F162" s="10" t="inlineStr">
        <is>
          <t>Cross Section: 150 mm²</t>
        </is>
      </c>
      <c r="G162" s="10" t="inlineStr">
        <is>
          <t>Current: 800A</t>
        </is>
      </c>
      <c r="H162" s="10" t="inlineStr">
        <is>
          <t>Voltage: Up to 24kV</t>
        </is>
      </c>
      <c r="I162" s="10" t="inlineStr">
        <is>
          <t>Conductor: Aluminum (Al)</t>
        </is>
      </c>
      <c r="J162" s="10" t="inlineStr">
        <is>
          <t>Lug Type: DIN Compression</t>
        </is>
      </c>
      <c r="K162" s="10" t="inlineStr">
        <is>
          <t>Separable Connector</t>
        </is>
      </c>
      <c r="L162" s="10" t="inlineStr">
        <is>
          <t>Stocked</t>
        </is>
      </c>
      <c r="M162" s="10" t="inlineStr">
        <is>
          <t>RSTI-5826</t>
        </is>
      </c>
      <c r="N162" s="11" t="n"/>
      <c r="O162" s="12" t="inlineStr">
        <is>
          <t>Upon request</t>
        </is>
      </c>
      <c r="P162" s="12">
        <f>IF(ISNUMBER(O162),O162*(1-N162),O162)</f>
        <v/>
      </c>
      <c r="Q162" s="10" t="inlineStr">
        <is>
          <t>TE Raychem RSTI-58</t>
        </is>
      </c>
      <c r="R162" s="10" t="inlineStr">
        <is>
          <t>Continuous current: 800A; Voltage rating: up to 24kV; Core insulation dia: 21.2 - 34.6 mm; Outer conductive EPDM screen; M16 threaded connection to DIN 400 Type C bushings</t>
        </is>
      </c>
      <c r="S162" s="10" t="inlineStr">
        <is>
          <t>Aegis Plus DIN 400 Type C Bushings</t>
        </is>
      </c>
      <c r="T162" s="9" t="inlineStr">
        <is>
          <t>3 pcs/set</t>
        </is>
      </c>
      <c r="U162" s="10" t="inlineStr">
        <is>
          <t>Screened touch-proof separable tee connector for polymeric cables</t>
        </is>
      </c>
      <c r="V162" s="9" t="n">
        <v>31</v>
      </c>
    </row>
    <row r="163" ht="20" customHeight="1">
      <c r="A163" s="5" t="n">
        <v>159</v>
      </c>
      <c r="B163" s="6" t="inlineStr">
        <is>
          <t>TE Raychem</t>
        </is>
      </c>
      <c r="C163" s="6" t="inlineStr">
        <is>
          <t>Cable Bushings &amp; Connectors</t>
        </is>
      </c>
      <c r="D163" s="6" t="inlineStr">
        <is>
          <t>TE Raychem RSTI-58 Screened Separable Connector 800A with DIN Cu Compression Lug (150 mm²)</t>
        </is>
      </c>
      <c r="E163" s="6" t="inlineStr">
        <is>
          <t>RSTI-58 (150 mm² Cu)</t>
        </is>
      </c>
      <c r="F163" s="6" t="inlineStr">
        <is>
          <t>Cross Section: 150 mm²</t>
        </is>
      </c>
      <c r="G163" s="6" t="inlineStr">
        <is>
          <t>Current: 800A</t>
        </is>
      </c>
      <c r="H163" s="6" t="inlineStr">
        <is>
          <t>Voltage: Up to 24kV</t>
        </is>
      </c>
      <c r="I163" s="6" t="inlineStr">
        <is>
          <t>Conductor: Copper (Cu)</t>
        </is>
      </c>
      <c r="J163" s="6" t="inlineStr">
        <is>
          <t>Lug Type: DIN Compression</t>
        </is>
      </c>
      <c r="K163" s="6" t="inlineStr">
        <is>
          <t>Separable Connector</t>
        </is>
      </c>
      <c r="L163" s="6" t="inlineStr">
        <is>
          <t>Stocked</t>
        </is>
      </c>
      <c r="M163" s="6" t="inlineStr">
        <is>
          <t>RSTI-5846</t>
        </is>
      </c>
      <c r="N163" s="7" t="n"/>
      <c r="O163" s="8" t="inlineStr">
        <is>
          <t>Upon request</t>
        </is>
      </c>
      <c r="P163" s="8">
        <f>IF(ISNUMBER(O163),O163*(1-N163),O163)</f>
        <v/>
      </c>
      <c r="Q163" s="6" t="inlineStr">
        <is>
          <t>TE Raychem RSTI-58</t>
        </is>
      </c>
      <c r="R163" s="6" t="inlineStr">
        <is>
          <t>Continuous current: 800A; Voltage rating: up to 24kV; Core insulation dia: 21.2 - 34.6 mm; Outer conductive EPDM screen; M16 threaded connection to DIN 400 Type C bushings</t>
        </is>
      </c>
      <c r="S163" s="6" t="inlineStr">
        <is>
          <t>Aegis Plus DIN 400 Type C Bushings</t>
        </is>
      </c>
      <c r="T163" s="5" t="inlineStr">
        <is>
          <t>3 pcs/set</t>
        </is>
      </c>
      <c r="U163" s="6" t="inlineStr">
        <is>
          <t>Screened touch-proof separable tee connector for copper cables</t>
        </is>
      </c>
      <c r="V163" s="5" t="n">
        <v>31</v>
      </c>
    </row>
    <row r="164" ht="20" customHeight="1">
      <c r="A164" s="9" t="n">
        <v>160</v>
      </c>
      <c r="B164" s="10" t="inlineStr">
        <is>
          <t>TE Raychem</t>
        </is>
      </c>
      <c r="C164" s="10" t="inlineStr">
        <is>
          <t>Cable Bushings &amp; Connectors</t>
        </is>
      </c>
      <c r="D164" s="10" t="inlineStr">
        <is>
          <t>TE Raychem RSTI-58 Screened Separable Connector 800A with DIN Al Compression Lug (185 mm²)</t>
        </is>
      </c>
      <c r="E164" s="10" t="inlineStr">
        <is>
          <t>RSTI-58 (185 mm² Al)</t>
        </is>
      </c>
      <c r="F164" s="10" t="inlineStr">
        <is>
          <t>Cross Section: 185 mm²</t>
        </is>
      </c>
      <c r="G164" s="10" t="inlineStr">
        <is>
          <t>Current: 800A</t>
        </is>
      </c>
      <c r="H164" s="10" t="inlineStr">
        <is>
          <t>Voltage: Up to 24kV</t>
        </is>
      </c>
      <c r="I164" s="10" t="inlineStr">
        <is>
          <t>Conductor: Aluminum (Al)</t>
        </is>
      </c>
      <c r="J164" s="10" t="inlineStr">
        <is>
          <t>Lug Type: DIN Compression</t>
        </is>
      </c>
      <c r="K164" s="10" t="inlineStr">
        <is>
          <t>Separable Connector</t>
        </is>
      </c>
      <c r="L164" s="10" t="inlineStr">
        <is>
          <t>Stocked</t>
        </is>
      </c>
      <c r="M164" s="10" t="inlineStr">
        <is>
          <t>RSTI-5827</t>
        </is>
      </c>
      <c r="N164" s="11" t="n"/>
      <c r="O164" s="12" t="inlineStr">
        <is>
          <t>Upon request</t>
        </is>
      </c>
      <c r="P164" s="12">
        <f>IF(ISNUMBER(O164),O164*(1-N164),O164)</f>
        <v/>
      </c>
      <c r="Q164" s="10" t="inlineStr">
        <is>
          <t>TE Raychem RSTI-58</t>
        </is>
      </c>
      <c r="R164" s="10" t="inlineStr">
        <is>
          <t>Continuous current: 800A; Voltage rating: up to 24kV; Core insulation dia: 21.2 - 34.6 mm; Outer conductive EPDM screen; M16 threaded connection to DIN 400 Type C bushings</t>
        </is>
      </c>
      <c r="S164" s="10" t="inlineStr">
        <is>
          <t>Aegis Plus DIN 400 Type C Bushings</t>
        </is>
      </c>
      <c r="T164" s="9" t="inlineStr">
        <is>
          <t>3 pcs/set</t>
        </is>
      </c>
      <c r="U164" s="10" t="inlineStr">
        <is>
          <t>Screened touch-proof separable tee connector for polymeric cables</t>
        </is>
      </c>
      <c r="V164" s="9" t="n">
        <v>31</v>
      </c>
    </row>
    <row r="165" ht="20" customHeight="1">
      <c r="A165" s="5" t="n">
        <v>161</v>
      </c>
      <c r="B165" s="6" t="inlineStr">
        <is>
          <t>TE Raychem</t>
        </is>
      </c>
      <c r="C165" s="6" t="inlineStr">
        <is>
          <t>Cable Bushings &amp; Connectors</t>
        </is>
      </c>
      <c r="D165" s="6" t="inlineStr">
        <is>
          <t>TE Raychem RSTI-58 Screened Separable Connector 800A with DIN Cu Compression Lug (185 mm²)</t>
        </is>
      </c>
      <c r="E165" s="6" t="inlineStr">
        <is>
          <t>RSTI-58 (185 mm² Cu)</t>
        </is>
      </c>
      <c r="F165" s="6" t="inlineStr">
        <is>
          <t>Cross Section: 185 mm²</t>
        </is>
      </c>
      <c r="G165" s="6" t="inlineStr">
        <is>
          <t>Current: 800A</t>
        </is>
      </c>
      <c r="H165" s="6" t="inlineStr">
        <is>
          <t>Voltage: Up to 24kV</t>
        </is>
      </c>
      <c r="I165" s="6" t="inlineStr">
        <is>
          <t>Conductor: Copper (Cu)</t>
        </is>
      </c>
      <c r="J165" s="6" t="inlineStr">
        <is>
          <t>Lug Type: DIN Compression</t>
        </is>
      </c>
      <c r="K165" s="6" t="inlineStr">
        <is>
          <t>Separable Connector</t>
        </is>
      </c>
      <c r="L165" s="6" t="inlineStr">
        <is>
          <t>Stocked</t>
        </is>
      </c>
      <c r="M165" s="6" t="inlineStr">
        <is>
          <t>RSTI-5847</t>
        </is>
      </c>
      <c r="N165" s="7" t="n"/>
      <c r="O165" s="8" t="inlineStr">
        <is>
          <t>Upon request</t>
        </is>
      </c>
      <c r="P165" s="8">
        <f>IF(ISNUMBER(O165),O165*(1-N165),O165)</f>
        <v/>
      </c>
      <c r="Q165" s="6" t="inlineStr">
        <is>
          <t>TE Raychem RSTI-58</t>
        </is>
      </c>
      <c r="R165" s="6" t="inlineStr">
        <is>
          <t>Continuous current: 800A; Voltage rating: up to 24kV; Core insulation dia: 21.2 - 34.6 mm; Outer conductive EPDM screen; M16 threaded connection to DIN 400 Type C bushings</t>
        </is>
      </c>
      <c r="S165" s="6" t="inlineStr">
        <is>
          <t>Aegis Plus DIN 400 Type C Bushings</t>
        </is>
      </c>
      <c r="T165" s="5" t="inlineStr">
        <is>
          <t>3 pcs/set</t>
        </is>
      </c>
      <c r="U165" s="6" t="inlineStr">
        <is>
          <t>Screened touch-proof separable tee connector for copper cables</t>
        </is>
      </c>
      <c r="V165" s="5" t="n">
        <v>31</v>
      </c>
    </row>
    <row r="166" ht="20" customHeight="1">
      <c r="A166" s="9" t="n">
        <v>162</v>
      </c>
      <c r="B166" s="10" t="inlineStr">
        <is>
          <t>TE Raychem</t>
        </is>
      </c>
      <c r="C166" s="10" t="inlineStr">
        <is>
          <t>Cable Bushings &amp; Connectors</t>
        </is>
      </c>
      <c r="D166" s="10" t="inlineStr">
        <is>
          <t>TE Raychem RSTI-58 Screened Separable Connector 800A with DIN Al Compression Lug (240 mm²)</t>
        </is>
      </c>
      <c r="E166" s="10" t="inlineStr">
        <is>
          <t>RSTI-58 (240 mm² Al)</t>
        </is>
      </c>
      <c r="F166" s="10" t="inlineStr">
        <is>
          <t>Cross Section: 240 mm²</t>
        </is>
      </c>
      <c r="G166" s="10" t="inlineStr">
        <is>
          <t>Current: 800A</t>
        </is>
      </c>
      <c r="H166" s="10" t="inlineStr">
        <is>
          <t>Voltage: Up to 24kV</t>
        </is>
      </c>
      <c r="I166" s="10" t="inlineStr">
        <is>
          <t>Conductor: Aluminum (Al)</t>
        </is>
      </c>
      <c r="J166" s="10" t="inlineStr">
        <is>
          <t>Lug Type: DIN Compression</t>
        </is>
      </c>
      <c r="K166" s="10" t="inlineStr">
        <is>
          <t>Separable Connector</t>
        </is>
      </c>
      <c r="L166" s="10" t="inlineStr">
        <is>
          <t>Stocked</t>
        </is>
      </c>
      <c r="M166" s="10" t="inlineStr">
        <is>
          <t>RSTI-5828</t>
        </is>
      </c>
      <c r="N166" s="11" t="n"/>
      <c r="O166" s="12" t="inlineStr">
        <is>
          <t>Upon request</t>
        </is>
      </c>
      <c r="P166" s="12">
        <f>IF(ISNUMBER(O166),O166*(1-N166),O166)</f>
        <v/>
      </c>
      <c r="Q166" s="10" t="inlineStr">
        <is>
          <t>TE Raychem RSTI-58</t>
        </is>
      </c>
      <c r="R166" s="10" t="inlineStr">
        <is>
          <t>Continuous current: 800A; Voltage rating: up to 24kV; Core insulation dia: 21.2 - 34.6 mm; Outer conductive EPDM screen; M16 threaded connection to DIN 400 Type C bushings</t>
        </is>
      </c>
      <c r="S166" s="10" t="inlineStr">
        <is>
          <t>Aegis Plus DIN 400 Type C Bushings</t>
        </is>
      </c>
      <c r="T166" s="9" t="inlineStr">
        <is>
          <t>3 pcs/set</t>
        </is>
      </c>
      <c r="U166" s="10" t="inlineStr">
        <is>
          <t>Screened touch-proof separable tee connector for polymeric cables</t>
        </is>
      </c>
      <c r="V166" s="9" t="n">
        <v>31</v>
      </c>
    </row>
    <row r="167" ht="20" customHeight="1">
      <c r="A167" s="5" t="n">
        <v>163</v>
      </c>
      <c r="B167" s="6" t="inlineStr">
        <is>
          <t>TE Raychem</t>
        </is>
      </c>
      <c r="C167" s="6" t="inlineStr">
        <is>
          <t>Cable Bushings &amp; Connectors</t>
        </is>
      </c>
      <c r="D167" s="6" t="inlineStr">
        <is>
          <t>TE Raychem RSTI-58 Screened Separable Connector 800A with DIN Cu Compression Lug (240 mm²)</t>
        </is>
      </c>
      <c r="E167" s="6" t="inlineStr">
        <is>
          <t>RSTI-58 (240 mm² Cu)</t>
        </is>
      </c>
      <c r="F167" s="6" t="inlineStr">
        <is>
          <t>Cross Section: 240 mm²</t>
        </is>
      </c>
      <c r="G167" s="6" t="inlineStr">
        <is>
          <t>Current: 800A</t>
        </is>
      </c>
      <c r="H167" s="6" t="inlineStr">
        <is>
          <t>Voltage: Up to 24kV</t>
        </is>
      </c>
      <c r="I167" s="6" t="inlineStr">
        <is>
          <t>Conductor: Copper (Cu)</t>
        </is>
      </c>
      <c r="J167" s="6" t="inlineStr">
        <is>
          <t>Lug Type: DIN Compression</t>
        </is>
      </c>
      <c r="K167" s="6" t="inlineStr">
        <is>
          <t>Separable Connector</t>
        </is>
      </c>
      <c r="L167" s="6" t="inlineStr">
        <is>
          <t>Stocked</t>
        </is>
      </c>
      <c r="M167" s="6" t="inlineStr">
        <is>
          <t>RSTI-5848</t>
        </is>
      </c>
      <c r="N167" s="7" t="n"/>
      <c r="O167" s="8" t="inlineStr">
        <is>
          <t>Upon request</t>
        </is>
      </c>
      <c r="P167" s="8">
        <f>IF(ISNUMBER(O167),O167*(1-N167),O167)</f>
        <v/>
      </c>
      <c r="Q167" s="6" t="inlineStr">
        <is>
          <t>TE Raychem RSTI-58</t>
        </is>
      </c>
      <c r="R167" s="6" t="inlineStr">
        <is>
          <t>Continuous current: 800A; Voltage rating: up to 24kV; Core insulation dia: 21.2 - 34.6 mm; Outer conductive EPDM screen; M16 threaded connection to DIN 400 Type C bushings</t>
        </is>
      </c>
      <c r="S167" s="6" t="inlineStr">
        <is>
          <t>Aegis Plus DIN 400 Type C Bushings</t>
        </is>
      </c>
      <c r="T167" s="5" t="inlineStr">
        <is>
          <t>3 pcs/set</t>
        </is>
      </c>
      <c r="U167" s="6" t="inlineStr">
        <is>
          <t>Screened touch-proof separable tee connector for copper cables</t>
        </is>
      </c>
      <c r="V167" s="5" t="n">
        <v>31</v>
      </c>
    </row>
    <row r="168" ht="20" customHeight="1">
      <c r="A168" s="9" t="n">
        <v>164</v>
      </c>
      <c r="B168" s="10" t="inlineStr">
        <is>
          <t>TE Raychem</t>
        </is>
      </c>
      <c r="C168" s="10" t="inlineStr">
        <is>
          <t>Cable Bushings &amp; Connectors</t>
        </is>
      </c>
      <c r="D168" s="10" t="inlineStr">
        <is>
          <t>TE Raychem RSTI-58 Screened Separable Connector 800A with DIN Al Compression Lug (300 mm²)</t>
        </is>
      </c>
      <c r="E168" s="10" t="inlineStr">
        <is>
          <t>RSTI-58 (300 mm² Al)</t>
        </is>
      </c>
      <c r="F168" s="10" t="inlineStr">
        <is>
          <t>Cross Section: 300 mm²</t>
        </is>
      </c>
      <c r="G168" s="10" t="inlineStr">
        <is>
          <t>Current: 800A</t>
        </is>
      </c>
      <c r="H168" s="10" t="inlineStr">
        <is>
          <t>Voltage: Up to 24kV</t>
        </is>
      </c>
      <c r="I168" s="10" t="inlineStr">
        <is>
          <t>Conductor: Aluminum (Al)</t>
        </is>
      </c>
      <c r="J168" s="10" t="inlineStr">
        <is>
          <t>Lug Type: DIN Compression</t>
        </is>
      </c>
      <c r="K168" s="10" t="inlineStr">
        <is>
          <t>Separable Connector</t>
        </is>
      </c>
      <c r="L168" s="10" t="inlineStr">
        <is>
          <t>Stocked</t>
        </is>
      </c>
      <c r="M168" s="10" t="inlineStr">
        <is>
          <t>RSTI-5829</t>
        </is>
      </c>
      <c r="N168" s="11" t="n"/>
      <c r="O168" s="12" t="inlineStr">
        <is>
          <t>Upon request</t>
        </is>
      </c>
      <c r="P168" s="12">
        <f>IF(ISNUMBER(O168),O168*(1-N168),O168)</f>
        <v/>
      </c>
      <c r="Q168" s="10" t="inlineStr">
        <is>
          <t>TE Raychem RSTI-58</t>
        </is>
      </c>
      <c r="R168" s="10" t="inlineStr">
        <is>
          <t>Continuous current: 800A; Voltage rating: up to 24kV; Core insulation dia: 21.2 - 34.6 mm; Outer conductive EPDM screen; M16 threaded connection to DIN 400 Type C bushings</t>
        </is>
      </c>
      <c r="S168" s="10" t="inlineStr">
        <is>
          <t>Aegis Plus DIN 400 Type C Bushings</t>
        </is>
      </c>
      <c r="T168" s="9" t="inlineStr">
        <is>
          <t>3 pcs/set</t>
        </is>
      </c>
      <c r="U168" s="10" t="inlineStr">
        <is>
          <t>Screened touch-proof separable tee connector for polymeric cables</t>
        </is>
      </c>
      <c r="V168" s="9" t="n">
        <v>31</v>
      </c>
    </row>
    <row r="169" ht="20" customHeight="1">
      <c r="A169" s="5" t="n">
        <v>165</v>
      </c>
      <c r="B169" s="6" t="inlineStr">
        <is>
          <t>TE Raychem</t>
        </is>
      </c>
      <c r="C169" s="6" t="inlineStr">
        <is>
          <t>Cable Bushings &amp; Connectors</t>
        </is>
      </c>
      <c r="D169" s="6" t="inlineStr">
        <is>
          <t>TE Raychem RSTI-58 Screened Separable Connector 800A with DIN Cu Compression Lug (300 mm²)</t>
        </is>
      </c>
      <c r="E169" s="6" t="inlineStr">
        <is>
          <t>RSTI-58 (300 mm² Cu)</t>
        </is>
      </c>
      <c r="F169" s="6" t="inlineStr">
        <is>
          <t>Cross Section: 300 mm²</t>
        </is>
      </c>
      <c r="G169" s="6" t="inlineStr">
        <is>
          <t>Current: 800A</t>
        </is>
      </c>
      <c r="H169" s="6" t="inlineStr">
        <is>
          <t>Voltage: Up to 24kV</t>
        </is>
      </c>
      <c r="I169" s="6" t="inlineStr">
        <is>
          <t>Conductor: Copper (Cu)</t>
        </is>
      </c>
      <c r="J169" s="6" t="inlineStr">
        <is>
          <t>Lug Type: DIN Compression</t>
        </is>
      </c>
      <c r="K169" s="6" t="inlineStr">
        <is>
          <t>Separable Connector</t>
        </is>
      </c>
      <c r="L169" s="6" t="inlineStr">
        <is>
          <t>Stocked</t>
        </is>
      </c>
      <c r="M169" s="6" t="inlineStr">
        <is>
          <t>RSTI-5849</t>
        </is>
      </c>
      <c r="N169" s="7" t="n"/>
      <c r="O169" s="8" t="inlineStr">
        <is>
          <t>Upon request</t>
        </is>
      </c>
      <c r="P169" s="8">
        <f>IF(ISNUMBER(O169),O169*(1-N169),O169)</f>
        <v/>
      </c>
      <c r="Q169" s="6" t="inlineStr">
        <is>
          <t>TE Raychem RSTI-58</t>
        </is>
      </c>
      <c r="R169" s="6" t="inlineStr">
        <is>
          <t>Continuous current: 800A; Voltage rating: up to 24kV; Core insulation dia: 21.2 - 34.6 mm; Outer conductive EPDM screen; M16 threaded connection to DIN 400 Type C bushings</t>
        </is>
      </c>
      <c r="S169" s="6" t="inlineStr">
        <is>
          <t>Aegis Plus DIN 400 Type C Bushings</t>
        </is>
      </c>
      <c r="T169" s="5" t="inlineStr">
        <is>
          <t>3 pcs/set</t>
        </is>
      </c>
      <c r="U169" s="6" t="inlineStr">
        <is>
          <t>Screened touch-proof separable tee connector for copper cables</t>
        </is>
      </c>
      <c r="V169" s="5" t="n">
        <v>31</v>
      </c>
    </row>
    <row r="170" ht="20" customHeight="1">
      <c r="A170" s="9" t="n">
        <v>166</v>
      </c>
      <c r="B170" s="10" t="inlineStr">
        <is>
          <t>TE Raychem</t>
        </is>
      </c>
      <c r="C170" s="10" t="inlineStr">
        <is>
          <t>Cable Bushings &amp; Connectors</t>
        </is>
      </c>
      <c r="D170" s="10" t="inlineStr">
        <is>
          <t>TE Raychem RSTI-58 Separable Connector with Mechanical Shear Bolt Lug (35 - 95 mm² (12kV) / 35 - 70 mm² (24kV))</t>
        </is>
      </c>
      <c r="E170" s="10" t="inlineStr">
        <is>
          <t>RSTI-58 Mech (35 - 95 mm² (12kV) / 35 - 70 mm² (24kV))</t>
        </is>
      </c>
      <c r="F170" s="10" t="inlineStr">
        <is>
          <t>Application Range: 35 - 95 mm² (12kV) / 35 - 70 mm² (24kV)</t>
        </is>
      </c>
      <c r="G170" s="10" t="inlineStr">
        <is>
          <t>Current: 800A</t>
        </is>
      </c>
      <c r="H170" s="10" t="inlineStr">
        <is>
          <t>Voltage: Up to 24kV</t>
        </is>
      </c>
      <c r="I170" s="10" t="inlineStr">
        <is>
          <t>Conductor: Al or Cu Universal</t>
        </is>
      </c>
      <c r="J170" s="10" t="inlineStr">
        <is>
          <t>Lug Type: Mechanical Shear Bolt</t>
        </is>
      </c>
      <c r="K170" s="10" t="inlineStr">
        <is>
          <t>Separable Connector</t>
        </is>
      </c>
      <c r="L170" s="10" t="inlineStr">
        <is>
          <t>Stocked</t>
        </is>
      </c>
      <c r="M170" s="10" t="inlineStr">
        <is>
          <t>RSTI-5851</t>
        </is>
      </c>
      <c r="N170" s="11" t="n"/>
      <c r="O170" s="12" t="inlineStr">
        <is>
          <t>Upon request</t>
        </is>
      </c>
      <c r="P170" s="12">
        <f>IF(ISNUMBER(O170),O170*(1-N170),O170)</f>
        <v/>
      </c>
      <c r="Q170" s="10" t="inlineStr">
        <is>
          <t>TE Raychem RSTI-58</t>
        </is>
      </c>
      <c r="R170" s="10" t="inlineStr">
        <is>
          <t>Core insulation diameter: 12.7 - 23.4 mm; Stepless mechanical shear-bolt connector for Al and Cu conductors; No crimping tool needed; 800A continuous rating</t>
        </is>
      </c>
      <c r="S170" s="10" t="inlineStr">
        <is>
          <t>Aegis Plus DIN 400 Type C Bushings</t>
        </is>
      </c>
      <c r="T170" s="9" t="inlineStr">
        <is>
          <t>3 pcs/set</t>
        </is>
      </c>
      <c r="U170" s="10" t="inlineStr">
        <is>
          <t>Easy installation with standard socket wrench; stepless shear bolts ensure optimal contact</t>
        </is>
      </c>
      <c r="V170" s="9" t="n">
        <v>31</v>
      </c>
    </row>
    <row r="171" ht="20" customHeight="1">
      <c r="A171" s="5" t="n">
        <v>167</v>
      </c>
      <c r="B171" s="6" t="inlineStr">
        <is>
          <t>TE Raychem</t>
        </is>
      </c>
      <c r="C171" s="6" t="inlineStr">
        <is>
          <t>Cable Bushings &amp; Connectors</t>
        </is>
      </c>
      <c r="D171" s="6" t="inlineStr">
        <is>
          <t>TE Raychem RSTI-58 Separable Connector with Mechanical Shear Bolt Lug (95 - 120 mm² (12kV))</t>
        </is>
      </c>
      <c r="E171" s="6" t="inlineStr">
        <is>
          <t>RSTI-58 Mech (95 - 120 mm² (12kV))</t>
        </is>
      </c>
      <c r="F171" s="6" t="inlineStr">
        <is>
          <t>Application Range: 95 - 120 mm² (12kV)</t>
        </is>
      </c>
      <c r="G171" s="6" t="inlineStr">
        <is>
          <t>Current: 800A</t>
        </is>
      </c>
      <c r="H171" s="6" t="inlineStr">
        <is>
          <t>Voltage: Up to 24kV</t>
        </is>
      </c>
      <c r="I171" s="6" t="inlineStr">
        <is>
          <t>Conductor: Al or Cu Universal</t>
        </is>
      </c>
      <c r="J171" s="6" t="inlineStr">
        <is>
          <t>Lug Type: Mechanical Shear Bolt</t>
        </is>
      </c>
      <c r="K171" s="6" t="inlineStr">
        <is>
          <t>Separable Connector</t>
        </is>
      </c>
      <c r="L171" s="6" t="inlineStr">
        <is>
          <t>Stocked</t>
        </is>
      </c>
      <c r="M171" s="6" t="inlineStr">
        <is>
          <t>RSTI-5852</t>
        </is>
      </c>
      <c r="N171" s="7" t="n"/>
      <c r="O171" s="8" t="inlineStr">
        <is>
          <t>Upon request</t>
        </is>
      </c>
      <c r="P171" s="8">
        <f>IF(ISNUMBER(O171),O171*(1-N171),O171)</f>
        <v/>
      </c>
      <c r="Q171" s="6" t="inlineStr">
        <is>
          <t>TE Raychem RSTI-58</t>
        </is>
      </c>
      <c r="R171" s="6" t="inlineStr">
        <is>
          <t>Core insulation diameter: 12.7 - 23.4 mm; Stepless mechanical shear-bolt connector for Al and Cu conductors; No crimping tool needed; 800A continuous rating</t>
        </is>
      </c>
      <c r="S171" s="6" t="inlineStr">
        <is>
          <t>Aegis Plus DIN 400 Type C Bushings</t>
        </is>
      </c>
      <c r="T171" s="5" t="inlineStr">
        <is>
          <t>3 pcs/set</t>
        </is>
      </c>
      <c r="U171" s="6" t="inlineStr">
        <is>
          <t>Easy installation with standard socket wrench; stepless shear bolts ensure optimal contact</t>
        </is>
      </c>
      <c r="V171" s="5" t="n">
        <v>31</v>
      </c>
    </row>
    <row r="172" ht="20" customHeight="1">
      <c r="A172" s="9" t="n">
        <v>168</v>
      </c>
      <c r="B172" s="10" t="inlineStr">
        <is>
          <t>TE Raychem</t>
        </is>
      </c>
      <c r="C172" s="10" t="inlineStr">
        <is>
          <t>Cable Bushings &amp; Connectors</t>
        </is>
      </c>
      <c r="D172" s="10" t="inlineStr">
        <is>
          <t>TE Raychem RSTI-58 Separable Connector with Mechanical Shear Bolt Lug (95 - 240 mm² (12kV) / 95 - 185 mm² (24kV))</t>
        </is>
      </c>
      <c r="E172" s="10" t="inlineStr">
        <is>
          <t>RSTI-58 Mech (95 - 240 mm² (12kV) / 95 - 185 mm² (24kV))</t>
        </is>
      </c>
      <c r="F172" s="10" t="inlineStr">
        <is>
          <t>Application Range: 95 - 240 mm² (12kV) / 95 - 185 mm² (24kV)</t>
        </is>
      </c>
      <c r="G172" s="10" t="inlineStr">
        <is>
          <t>Current: 800A</t>
        </is>
      </c>
      <c r="H172" s="10" t="inlineStr">
        <is>
          <t>Voltage: Up to 24kV</t>
        </is>
      </c>
      <c r="I172" s="10" t="inlineStr">
        <is>
          <t>Conductor: Al or Cu Universal</t>
        </is>
      </c>
      <c r="J172" s="10" t="inlineStr">
        <is>
          <t>Lug Type: Mechanical Shear Bolt</t>
        </is>
      </c>
      <c r="K172" s="10" t="inlineStr">
        <is>
          <t>Separable Connector</t>
        </is>
      </c>
      <c r="L172" s="10" t="inlineStr">
        <is>
          <t>Stocked</t>
        </is>
      </c>
      <c r="M172" s="10" t="inlineStr">
        <is>
          <t>RSTI-5853</t>
        </is>
      </c>
      <c r="N172" s="11" t="n"/>
      <c r="O172" s="12" t="inlineStr">
        <is>
          <t>Upon request</t>
        </is>
      </c>
      <c r="P172" s="12">
        <f>IF(ISNUMBER(O172),O172*(1-N172),O172)</f>
        <v/>
      </c>
      <c r="Q172" s="10" t="inlineStr">
        <is>
          <t>TE Raychem RSTI-58</t>
        </is>
      </c>
      <c r="R172" s="10" t="inlineStr">
        <is>
          <t>Core insulation diameter: 17.0 - 30.1 mm; Stepless mechanical shear-bolt connector for Al and Cu conductors; No crimping tool needed; 800A continuous rating</t>
        </is>
      </c>
      <c r="S172" s="10" t="inlineStr">
        <is>
          <t>Aegis Plus DIN 400 Type C Bushings</t>
        </is>
      </c>
      <c r="T172" s="9" t="inlineStr">
        <is>
          <t>3 pcs/set</t>
        </is>
      </c>
      <c r="U172" s="10" t="inlineStr">
        <is>
          <t>Easy installation with standard socket wrench; stepless shear bolts ensure optimal contact</t>
        </is>
      </c>
      <c r="V172" s="9" t="n">
        <v>31</v>
      </c>
    </row>
    <row r="173" ht="20" customHeight="1">
      <c r="A173" s="5" t="n">
        <v>169</v>
      </c>
      <c r="B173" s="6" t="inlineStr">
        <is>
          <t>TE Raychem</t>
        </is>
      </c>
      <c r="C173" s="6" t="inlineStr">
        <is>
          <t>Cable Bushings &amp; Connectors</t>
        </is>
      </c>
      <c r="D173" s="6" t="inlineStr">
        <is>
          <t>TE Raychem RSTI-58 Separable Connector with Mechanical Shear Bolt Lug (150 - 240 mm² (12kV) / 95 - 240 mm² (24kV))</t>
        </is>
      </c>
      <c r="E173" s="6" t="inlineStr">
        <is>
          <t>RSTI-58 Mech (150 - 240 mm² (12kV) / 95 - 240 mm² (24kV))</t>
        </is>
      </c>
      <c r="F173" s="6" t="inlineStr">
        <is>
          <t>Application Range: 150 - 240 mm² (12kV) / 95 - 240 mm² (24kV)</t>
        </is>
      </c>
      <c r="G173" s="6" t="inlineStr">
        <is>
          <t>Current: 800A</t>
        </is>
      </c>
      <c r="H173" s="6" t="inlineStr">
        <is>
          <t>Voltage: Up to 24kV</t>
        </is>
      </c>
      <c r="I173" s="6" t="inlineStr">
        <is>
          <t>Conductor: Al or Cu Universal</t>
        </is>
      </c>
      <c r="J173" s="6" t="inlineStr">
        <is>
          <t>Lug Type: Mechanical Shear Bolt</t>
        </is>
      </c>
      <c r="K173" s="6" t="inlineStr">
        <is>
          <t>Separable Connector</t>
        </is>
      </c>
      <c r="L173" s="6" t="inlineStr">
        <is>
          <t>Stocked</t>
        </is>
      </c>
      <c r="M173" s="6" t="inlineStr">
        <is>
          <t>RSTI-5854</t>
        </is>
      </c>
      <c r="N173" s="7" t="n"/>
      <c r="O173" s="8" t="inlineStr">
        <is>
          <t>Upon request</t>
        </is>
      </c>
      <c r="P173" s="8">
        <f>IF(ISNUMBER(O173),O173*(1-N173),O173)</f>
        <v/>
      </c>
      <c r="Q173" s="6" t="inlineStr">
        <is>
          <t>TE Raychem RSTI-58</t>
        </is>
      </c>
      <c r="R173" s="6" t="inlineStr">
        <is>
          <t>Core insulation diameter: 21.2 - 34.6 mm; Stepless mechanical shear-bolt connector for Al and Cu conductors; No crimping tool needed; 800A continuous rating</t>
        </is>
      </c>
      <c r="S173" s="6" t="inlineStr">
        <is>
          <t>Aegis Plus DIN 400 Type C Bushings</t>
        </is>
      </c>
      <c r="T173" s="5" t="inlineStr">
        <is>
          <t>3 pcs/set</t>
        </is>
      </c>
      <c r="U173" s="6" t="inlineStr">
        <is>
          <t>Easy installation with standard socket wrench; stepless shear bolts ensure optimal contact</t>
        </is>
      </c>
      <c r="V173" s="5" t="n">
        <v>31</v>
      </c>
    </row>
    <row r="174" ht="20" customHeight="1">
      <c r="A174" s="9" t="n">
        <v>170</v>
      </c>
      <c r="B174" s="10" t="inlineStr">
        <is>
          <t>TE Raychem</t>
        </is>
      </c>
      <c r="C174" s="10" t="inlineStr">
        <is>
          <t>Cable Bushings &amp; Connectors</t>
        </is>
      </c>
      <c r="D174" s="10" t="inlineStr">
        <is>
          <t>TE Raychem RSTI-58 Separable Connector with Mechanical Shear Bolt Lug (185 - 300 mm² (12kV &amp; 24kV))</t>
        </is>
      </c>
      <c r="E174" s="10" t="inlineStr">
        <is>
          <t>RSTI-58 Mech (185 - 300 mm² (12kV &amp; 24kV))</t>
        </is>
      </c>
      <c r="F174" s="10" t="inlineStr">
        <is>
          <t>Application Range: 185 - 300 mm² (12kV &amp; 24kV)</t>
        </is>
      </c>
      <c r="G174" s="10" t="inlineStr">
        <is>
          <t>Current: 800A</t>
        </is>
      </c>
      <c r="H174" s="10" t="inlineStr">
        <is>
          <t>Voltage: Up to 24kV</t>
        </is>
      </c>
      <c r="I174" s="10" t="inlineStr">
        <is>
          <t>Conductor: Al or Cu Universal</t>
        </is>
      </c>
      <c r="J174" s="10" t="inlineStr">
        <is>
          <t>Lug Type: Mechanical Shear Bolt</t>
        </is>
      </c>
      <c r="K174" s="10" t="inlineStr">
        <is>
          <t>Separable Connector</t>
        </is>
      </c>
      <c r="L174" s="10" t="inlineStr">
        <is>
          <t>Stocked</t>
        </is>
      </c>
      <c r="M174" s="10" t="inlineStr">
        <is>
          <t>RSTI-5855</t>
        </is>
      </c>
      <c r="N174" s="11" t="n"/>
      <c r="O174" s="12" t="inlineStr">
        <is>
          <t>Upon request</t>
        </is>
      </c>
      <c r="P174" s="12">
        <f>IF(ISNUMBER(O174),O174*(1-N174),O174)</f>
        <v/>
      </c>
      <c r="Q174" s="10" t="inlineStr">
        <is>
          <t>TE Raychem RSTI-58</t>
        </is>
      </c>
      <c r="R174" s="10" t="inlineStr">
        <is>
          <t>Core insulation diameter: 21.2 - 34.6 mm; Stepless mechanical shear-bolt connector for Al and Cu conductors; No crimping tool needed; 800A continuous rating</t>
        </is>
      </c>
      <c r="S174" s="10" t="inlineStr">
        <is>
          <t>Aegis Plus DIN 400 Type C Bushings</t>
        </is>
      </c>
      <c r="T174" s="9" t="inlineStr">
        <is>
          <t>3 pcs/set</t>
        </is>
      </c>
      <c r="U174" s="10" t="inlineStr">
        <is>
          <t>Easy installation with standard socket wrench; stepless shear bolts ensure optimal contact</t>
        </is>
      </c>
      <c r="V174" s="9" t="n">
        <v>31</v>
      </c>
    </row>
    <row r="175" ht="20" customHeight="1">
      <c r="A175" s="5" t="n">
        <v>171</v>
      </c>
      <c r="B175" s="6" t="inlineStr">
        <is>
          <t>TE Raychem</t>
        </is>
      </c>
      <c r="C175" s="6" t="inlineStr">
        <is>
          <t>Cable Bushings &amp; Connectors</t>
        </is>
      </c>
      <c r="D175" s="6" t="inlineStr">
        <is>
          <t>TE Raychem RSTI-58 Separable Connector with Mechanical Shear Bolt Lug (240 - 400 mm² (12kV))</t>
        </is>
      </c>
      <c r="E175" s="6" t="inlineStr">
        <is>
          <t>RSTI-58 Mech (240 - 400 mm² (12kV))</t>
        </is>
      </c>
      <c r="F175" s="6" t="inlineStr">
        <is>
          <t>Application Range: 240 - 400 mm² (12kV)</t>
        </is>
      </c>
      <c r="G175" s="6" t="inlineStr">
        <is>
          <t>Current: 800A</t>
        </is>
      </c>
      <c r="H175" s="6" t="inlineStr">
        <is>
          <t>Voltage: Up to 24kV</t>
        </is>
      </c>
      <c r="I175" s="6" t="inlineStr">
        <is>
          <t>Conductor: Al or Cu Universal</t>
        </is>
      </c>
      <c r="J175" s="6" t="inlineStr">
        <is>
          <t>Lug Type: Mechanical Shear Bolt</t>
        </is>
      </c>
      <c r="K175" s="6" t="inlineStr">
        <is>
          <t>Separable Connector</t>
        </is>
      </c>
      <c r="L175" s="6" t="inlineStr">
        <is>
          <t>Stocked</t>
        </is>
      </c>
      <c r="M175" s="6" t="inlineStr">
        <is>
          <t>RSTI-5856</t>
        </is>
      </c>
      <c r="N175" s="7" t="n"/>
      <c r="O175" s="8" t="inlineStr">
        <is>
          <t>Upon request</t>
        </is>
      </c>
      <c r="P175" s="8">
        <f>IF(ISNUMBER(O175),O175*(1-N175),O175)</f>
        <v/>
      </c>
      <c r="Q175" s="6" t="inlineStr">
        <is>
          <t>TE Raychem RSTI-58</t>
        </is>
      </c>
      <c r="R175" s="6" t="inlineStr">
        <is>
          <t>Core insulation diameter: 21.2 - 34.6 mm; Stepless mechanical shear-bolt connector for Al and Cu conductors; No crimping tool needed; 800A continuous rating</t>
        </is>
      </c>
      <c r="S175" s="6" t="inlineStr">
        <is>
          <t>Aegis Plus DIN 400 Type C Bushings</t>
        </is>
      </c>
      <c r="T175" s="5" t="inlineStr">
        <is>
          <t>3 pcs/set</t>
        </is>
      </c>
      <c r="U175" s="6" t="inlineStr">
        <is>
          <t>Easy installation with standard socket wrench; stepless shear bolts ensure optimal contact</t>
        </is>
      </c>
      <c r="V175" s="5" t="n">
        <v>31</v>
      </c>
    </row>
    <row r="176" ht="20" customHeight="1">
      <c r="A176" s="9" t="n">
        <v>172</v>
      </c>
      <c r="B176" s="10" t="inlineStr">
        <is>
          <t>TE Raychem</t>
        </is>
      </c>
      <c r="C176" s="10" t="inlineStr">
        <is>
          <t>Cable Bushings &amp; Connectors</t>
        </is>
      </c>
      <c r="D176" s="10" t="inlineStr">
        <is>
          <t>TE Raychem RSTI-CC-58 Screened Coupling Connector 800A with DIN Al Compression Lug (25 mm²)</t>
        </is>
      </c>
      <c r="E176" s="10" t="inlineStr">
        <is>
          <t>RSTI-CC-58 (25 mm² Al)</t>
        </is>
      </c>
      <c r="F176" s="10" t="inlineStr">
        <is>
          <t>Cross Section: 25 mm²</t>
        </is>
      </c>
      <c r="G176" s="10" t="inlineStr">
        <is>
          <t>Current: 800A</t>
        </is>
      </c>
      <c r="H176" s="10" t="inlineStr">
        <is>
          <t>Voltage: Up to 24kV</t>
        </is>
      </c>
      <c r="I176" s="10" t="inlineStr">
        <is>
          <t>Conductor: Aluminum (Al)</t>
        </is>
      </c>
      <c r="J176" s="10" t="inlineStr">
        <is>
          <t>Application: Double Cable Coupling</t>
        </is>
      </c>
      <c r="K176" s="10" t="inlineStr">
        <is>
          <t>Coupling Connector</t>
        </is>
      </c>
      <c r="L176" s="10" t="inlineStr">
        <is>
          <t>Stocked</t>
        </is>
      </c>
      <c r="M176" s="10" t="inlineStr">
        <is>
          <t>RSTI-CC-5810</t>
        </is>
      </c>
      <c r="N176" s="11" t="n"/>
      <c r="O176" s="12" t="inlineStr">
        <is>
          <t>Upon request</t>
        </is>
      </c>
      <c r="P176" s="12">
        <f>IF(ISNUMBER(O176),O176*(1-N176),O176)</f>
        <v/>
      </c>
      <c r="Q176" s="10" t="inlineStr">
        <is>
          <t>TE Raychem RSTI-CC</t>
        </is>
      </c>
      <c r="R176" s="10" t="inlineStr">
        <is>
          <t>Connects onto rear of RSTI-58 base connector for parallel / double cable termination; Core insulation dia: 12.7 - 23.4 mm; EPDM conductive screen; 800A continuous rating</t>
        </is>
      </c>
      <c r="S176" s="10" t="inlineStr">
        <is>
          <t>Aegis Plus Double Cable Terminations (with RSTI-58)</t>
        </is>
      </c>
      <c r="T176" s="9" t="inlineStr">
        <is>
          <t>3 pcs/set</t>
        </is>
      </c>
      <c r="U176" s="10" t="inlineStr">
        <is>
          <t>Enables double cable entry per phase in spacious Aegis cable compartment</t>
        </is>
      </c>
      <c r="V176" s="9" t="n">
        <v>32</v>
      </c>
    </row>
    <row r="177" ht="20" customHeight="1">
      <c r="A177" s="5" t="n">
        <v>173</v>
      </c>
      <c r="B177" s="6" t="inlineStr">
        <is>
          <t>TE Raychem</t>
        </is>
      </c>
      <c r="C177" s="6" t="inlineStr">
        <is>
          <t>Cable Bushings &amp; Connectors</t>
        </is>
      </c>
      <c r="D177" s="6" t="inlineStr">
        <is>
          <t>TE Raychem RSTI-CC-58 Screened Coupling Connector 800A with DIN Cu Compression Lug (25 mm²)</t>
        </is>
      </c>
      <c r="E177" s="6" t="inlineStr">
        <is>
          <t>RSTI-CC-58 (25 mm² Cu)</t>
        </is>
      </c>
      <c r="F177" s="6" t="inlineStr">
        <is>
          <t>Cross Section: 25 mm²</t>
        </is>
      </c>
      <c r="G177" s="6" t="inlineStr">
        <is>
          <t>Current: 800A</t>
        </is>
      </c>
      <c r="H177" s="6" t="inlineStr">
        <is>
          <t>Voltage: Up to 24kV</t>
        </is>
      </c>
      <c r="I177" s="6" t="inlineStr">
        <is>
          <t>Conductor: Copper (Cu)</t>
        </is>
      </c>
      <c r="J177" s="6" t="inlineStr">
        <is>
          <t>Application: Double Cable Coupling</t>
        </is>
      </c>
      <c r="K177" s="6" t="inlineStr">
        <is>
          <t>Coupling Connector</t>
        </is>
      </c>
      <c r="L177" s="6" t="inlineStr">
        <is>
          <t>Stocked</t>
        </is>
      </c>
      <c r="M177" s="6" t="inlineStr">
        <is>
          <t>RSTI-CC-5830</t>
        </is>
      </c>
      <c r="N177" s="7" t="n"/>
      <c r="O177" s="8" t="inlineStr">
        <is>
          <t>Upon request</t>
        </is>
      </c>
      <c r="P177" s="8">
        <f>IF(ISNUMBER(O177),O177*(1-N177),O177)</f>
        <v/>
      </c>
      <c r="Q177" s="6" t="inlineStr">
        <is>
          <t>TE Raychem RSTI-CC</t>
        </is>
      </c>
      <c r="R177" s="6" t="inlineStr">
        <is>
          <t>Connects onto rear of RSTI-58 base connector for parallel / double cable termination; Core insulation dia: 12.7 - 23.4 mm; EPDM conductive screen; 800A continuous rating</t>
        </is>
      </c>
      <c r="S177" s="6" t="inlineStr">
        <is>
          <t>Aegis Plus Double Cable Terminations (with RSTI-58)</t>
        </is>
      </c>
      <c r="T177" s="5" t="inlineStr">
        <is>
          <t>3 pcs/set</t>
        </is>
      </c>
      <c r="U177" s="6" t="inlineStr">
        <is>
          <t>Enables double cable entry per phase in spacious Aegis cable compartment</t>
        </is>
      </c>
      <c r="V177" s="5" t="n">
        <v>32</v>
      </c>
    </row>
    <row r="178" ht="20" customHeight="1">
      <c r="A178" s="9" t="n">
        <v>174</v>
      </c>
      <c r="B178" s="10" t="inlineStr">
        <is>
          <t>TE Raychem</t>
        </is>
      </c>
      <c r="C178" s="10" t="inlineStr">
        <is>
          <t>Cable Bushings &amp; Connectors</t>
        </is>
      </c>
      <c r="D178" s="10" t="inlineStr">
        <is>
          <t>TE Raychem RSTI-CC-58 Screened Coupling Connector 800A with DIN Al Compression Lug (35 mm²)</t>
        </is>
      </c>
      <c r="E178" s="10" t="inlineStr">
        <is>
          <t>RSTI-CC-58 (35 mm² Al)</t>
        </is>
      </c>
      <c r="F178" s="10" t="inlineStr">
        <is>
          <t>Cross Section: 35 mm²</t>
        </is>
      </c>
      <c r="G178" s="10" t="inlineStr">
        <is>
          <t>Current: 800A</t>
        </is>
      </c>
      <c r="H178" s="10" t="inlineStr">
        <is>
          <t>Voltage: Up to 24kV</t>
        </is>
      </c>
      <c r="I178" s="10" t="inlineStr">
        <is>
          <t>Conductor: Aluminum (Al)</t>
        </is>
      </c>
      <c r="J178" s="10" t="inlineStr">
        <is>
          <t>Application: Double Cable Coupling</t>
        </is>
      </c>
      <c r="K178" s="10" t="inlineStr">
        <is>
          <t>Coupling Connector</t>
        </is>
      </c>
      <c r="L178" s="10" t="inlineStr">
        <is>
          <t>Stocked</t>
        </is>
      </c>
      <c r="M178" s="10" t="inlineStr">
        <is>
          <t>RSTI-CC-5811</t>
        </is>
      </c>
      <c r="N178" s="11" t="n"/>
      <c r="O178" s="12" t="inlineStr">
        <is>
          <t>Upon request</t>
        </is>
      </c>
      <c r="P178" s="12">
        <f>IF(ISNUMBER(O178),O178*(1-N178),O178)</f>
        <v/>
      </c>
      <c r="Q178" s="10" t="inlineStr">
        <is>
          <t>TE Raychem RSTI-CC</t>
        </is>
      </c>
      <c r="R178" s="10" t="inlineStr">
        <is>
          <t>Connects onto rear of RSTI-58 base connector for parallel / double cable termination; Core insulation dia: 12.7 - 23.4 mm; EPDM conductive screen; 800A continuous rating</t>
        </is>
      </c>
      <c r="S178" s="10" t="inlineStr">
        <is>
          <t>Aegis Plus Double Cable Terminations (with RSTI-58)</t>
        </is>
      </c>
      <c r="T178" s="9" t="inlineStr">
        <is>
          <t>3 pcs/set</t>
        </is>
      </c>
      <c r="U178" s="10" t="inlineStr">
        <is>
          <t>Enables double cable entry per phase in spacious Aegis cable compartment</t>
        </is>
      </c>
      <c r="V178" s="9" t="n">
        <v>32</v>
      </c>
    </row>
    <row r="179" ht="20" customHeight="1">
      <c r="A179" s="5" t="n">
        <v>175</v>
      </c>
      <c r="B179" s="6" t="inlineStr">
        <is>
          <t>TE Raychem</t>
        </is>
      </c>
      <c r="C179" s="6" t="inlineStr">
        <is>
          <t>Cable Bushings &amp; Connectors</t>
        </is>
      </c>
      <c r="D179" s="6" t="inlineStr">
        <is>
          <t>TE Raychem RSTI-CC-58 Screened Coupling Connector 800A with DIN Cu Compression Lug (35 mm²)</t>
        </is>
      </c>
      <c r="E179" s="6" t="inlineStr">
        <is>
          <t>RSTI-CC-58 (35 mm² Cu)</t>
        </is>
      </c>
      <c r="F179" s="6" t="inlineStr">
        <is>
          <t>Cross Section: 35 mm²</t>
        </is>
      </c>
      <c r="G179" s="6" t="inlineStr">
        <is>
          <t>Current: 800A</t>
        </is>
      </c>
      <c r="H179" s="6" t="inlineStr">
        <is>
          <t>Voltage: Up to 24kV</t>
        </is>
      </c>
      <c r="I179" s="6" t="inlineStr">
        <is>
          <t>Conductor: Copper (Cu)</t>
        </is>
      </c>
      <c r="J179" s="6" t="inlineStr">
        <is>
          <t>Application: Double Cable Coupling</t>
        </is>
      </c>
      <c r="K179" s="6" t="inlineStr">
        <is>
          <t>Coupling Connector</t>
        </is>
      </c>
      <c r="L179" s="6" t="inlineStr">
        <is>
          <t>Stocked</t>
        </is>
      </c>
      <c r="M179" s="6" t="inlineStr">
        <is>
          <t>RSTI-CC-5831</t>
        </is>
      </c>
      <c r="N179" s="7" t="n"/>
      <c r="O179" s="8" t="inlineStr">
        <is>
          <t>Upon request</t>
        </is>
      </c>
      <c r="P179" s="8">
        <f>IF(ISNUMBER(O179),O179*(1-N179),O179)</f>
        <v/>
      </c>
      <c r="Q179" s="6" t="inlineStr">
        <is>
          <t>TE Raychem RSTI-CC</t>
        </is>
      </c>
      <c r="R179" s="6" t="inlineStr">
        <is>
          <t>Connects onto rear of RSTI-58 base connector for parallel / double cable termination; Core insulation dia: 12.7 - 23.4 mm; EPDM conductive screen; 800A continuous rating</t>
        </is>
      </c>
      <c r="S179" s="6" t="inlineStr">
        <is>
          <t>Aegis Plus Double Cable Terminations (with RSTI-58)</t>
        </is>
      </c>
      <c r="T179" s="5" t="inlineStr">
        <is>
          <t>3 pcs/set</t>
        </is>
      </c>
      <c r="U179" s="6" t="inlineStr">
        <is>
          <t>Enables double cable entry per phase in spacious Aegis cable compartment</t>
        </is>
      </c>
      <c r="V179" s="5" t="n">
        <v>32</v>
      </c>
    </row>
    <row r="180" ht="20" customHeight="1">
      <c r="A180" s="9" t="n">
        <v>176</v>
      </c>
      <c r="B180" s="10" t="inlineStr">
        <is>
          <t>TE Raychem</t>
        </is>
      </c>
      <c r="C180" s="10" t="inlineStr">
        <is>
          <t>Cable Bushings &amp; Connectors</t>
        </is>
      </c>
      <c r="D180" s="10" t="inlineStr">
        <is>
          <t>TE Raychem RSTI-CC-58 Screened Coupling Connector 800A with DIN Al Compression Lug (50 mm²)</t>
        </is>
      </c>
      <c r="E180" s="10" t="inlineStr">
        <is>
          <t>RSTI-CC-58 (50 mm² Al)</t>
        </is>
      </c>
      <c r="F180" s="10" t="inlineStr">
        <is>
          <t>Cross Section: 50 mm²</t>
        </is>
      </c>
      <c r="G180" s="10" t="inlineStr">
        <is>
          <t>Current: 800A</t>
        </is>
      </c>
      <c r="H180" s="10" t="inlineStr">
        <is>
          <t>Voltage: Up to 24kV</t>
        </is>
      </c>
      <c r="I180" s="10" t="inlineStr">
        <is>
          <t>Conductor: Aluminum (Al)</t>
        </is>
      </c>
      <c r="J180" s="10" t="inlineStr">
        <is>
          <t>Application: Double Cable Coupling</t>
        </is>
      </c>
      <c r="K180" s="10" t="inlineStr">
        <is>
          <t>Coupling Connector</t>
        </is>
      </c>
      <c r="L180" s="10" t="inlineStr">
        <is>
          <t>Stocked</t>
        </is>
      </c>
      <c r="M180" s="10" t="inlineStr">
        <is>
          <t>RSTI-CC-5812</t>
        </is>
      </c>
      <c r="N180" s="11" t="n"/>
      <c r="O180" s="12" t="inlineStr">
        <is>
          <t>Upon request</t>
        </is>
      </c>
      <c r="P180" s="12">
        <f>IF(ISNUMBER(O180),O180*(1-N180),O180)</f>
        <v/>
      </c>
      <c r="Q180" s="10" t="inlineStr">
        <is>
          <t>TE Raychem RSTI-CC</t>
        </is>
      </c>
      <c r="R180" s="10" t="inlineStr">
        <is>
          <t>Connects onto rear of RSTI-58 base connector for parallel / double cable termination; Core insulation dia: 12.7 - 23.4 mm; EPDM conductive screen; 800A continuous rating</t>
        </is>
      </c>
      <c r="S180" s="10" t="inlineStr">
        <is>
          <t>Aegis Plus Double Cable Terminations (with RSTI-58)</t>
        </is>
      </c>
      <c r="T180" s="9" t="inlineStr">
        <is>
          <t>3 pcs/set</t>
        </is>
      </c>
      <c r="U180" s="10" t="inlineStr">
        <is>
          <t>Enables double cable entry per phase in spacious Aegis cable compartment</t>
        </is>
      </c>
      <c r="V180" s="9" t="n">
        <v>32</v>
      </c>
    </row>
    <row r="181" ht="20" customHeight="1">
      <c r="A181" s="5" t="n">
        <v>177</v>
      </c>
      <c r="B181" s="6" t="inlineStr">
        <is>
          <t>TE Raychem</t>
        </is>
      </c>
      <c r="C181" s="6" t="inlineStr">
        <is>
          <t>Cable Bushings &amp; Connectors</t>
        </is>
      </c>
      <c r="D181" s="6" t="inlineStr">
        <is>
          <t>TE Raychem RSTI-CC-58 Screened Coupling Connector 800A with DIN Cu Compression Lug (50 mm²)</t>
        </is>
      </c>
      <c r="E181" s="6" t="inlineStr">
        <is>
          <t>RSTI-CC-58 (50 mm² Cu)</t>
        </is>
      </c>
      <c r="F181" s="6" t="inlineStr">
        <is>
          <t>Cross Section: 50 mm²</t>
        </is>
      </c>
      <c r="G181" s="6" t="inlineStr">
        <is>
          <t>Current: 800A</t>
        </is>
      </c>
      <c r="H181" s="6" t="inlineStr">
        <is>
          <t>Voltage: Up to 24kV</t>
        </is>
      </c>
      <c r="I181" s="6" t="inlineStr">
        <is>
          <t>Conductor: Copper (Cu)</t>
        </is>
      </c>
      <c r="J181" s="6" t="inlineStr">
        <is>
          <t>Application: Double Cable Coupling</t>
        </is>
      </c>
      <c r="K181" s="6" t="inlineStr">
        <is>
          <t>Coupling Connector</t>
        </is>
      </c>
      <c r="L181" s="6" t="inlineStr">
        <is>
          <t>Stocked</t>
        </is>
      </c>
      <c r="M181" s="6" t="inlineStr">
        <is>
          <t>RSTI-CC-5832</t>
        </is>
      </c>
      <c r="N181" s="7" t="n"/>
      <c r="O181" s="8" t="inlineStr">
        <is>
          <t>Upon request</t>
        </is>
      </c>
      <c r="P181" s="8">
        <f>IF(ISNUMBER(O181),O181*(1-N181),O181)</f>
        <v/>
      </c>
      <c r="Q181" s="6" t="inlineStr">
        <is>
          <t>TE Raychem RSTI-CC</t>
        </is>
      </c>
      <c r="R181" s="6" t="inlineStr">
        <is>
          <t>Connects onto rear of RSTI-58 base connector for parallel / double cable termination; Core insulation dia: 12.7 - 23.4 mm; EPDM conductive screen; 800A continuous rating</t>
        </is>
      </c>
      <c r="S181" s="6" t="inlineStr">
        <is>
          <t>Aegis Plus Double Cable Terminations (with RSTI-58)</t>
        </is>
      </c>
      <c r="T181" s="5" t="inlineStr">
        <is>
          <t>3 pcs/set</t>
        </is>
      </c>
      <c r="U181" s="6" t="inlineStr">
        <is>
          <t>Enables double cable entry per phase in spacious Aegis cable compartment</t>
        </is>
      </c>
      <c r="V181" s="5" t="n">
        <v>32</v>
      </c>
    </row>
    <row r="182" ht="20" customHeight="1">
      <c r="A182" s="9" t="n">
        <v>178</v>
      </c>
      <c r="B182" s="10" t="inlineStr">
        <is>
          <t>TE Raychem</t>
        </is>
      </c>
      <c r="C182" s="10" t="inlineStr">
        <is>
          <t>Cable Bushings &amp; Connectors</t>
        </is>
      </c>
      <c r="D182" s="10" t="inlineStr">
        <is>
          <t>TE Raychem RSTI-CC-58 Screened Coupling Connector 800A with DIN Al Compression Lug (70 mm²)</t>
        </is>
      </c>
      <c r="E182" s="10" t="inlineStr">
        <is>
          <t>RSTI-CC-58 (70 mm² Al)</t>
        </is>
      </c>
      <c r="F182" s="10" t="inlineStr">
        <is>
          <t>Cross Section: 70 mm²</t>
        </is>
      </c>
      <c r="G182" s="10" t="inlineStr">
        <is>
          <t>Current: 800A</t>
        </is>
      </c>
      <c r="H182" s="10" t="inlineStr">
        <is>
          <t>Voltage: Up to 24kV</t>
        </is>
      </c>
      <c r="I182" s="10" t="inlineStr">
        <is>
          <t>Conductor: Aluminum (Al)</t>
        </is>
      </c>
      <c r="J182" s="10" t="inlineStr">
        <is>
          <t>Application: Double Cable Coupling</t>
        </is>
      </c>
      <c r="K182" s="10" t="inlineStr">
        <is>
          <t>Coupling Connector</t>
        </is>
      </c>
      <c r="L182" s="10" t="inlineStr">
        <is>
          <t>Stocked</t>
        </is>
      </c>
      <c r="M182" s="10" t="inlineStr">
        <is>
          <t>RSTI-CC-5813</t>
        </is>
      </c>
      <c r="N182" s="11" t="n"/>
      <c r="O182" s="12" t="inlineStr">
        <is>
          <t>Upon request</t>
        </is>
      </c>
      <c r="P182" s="12">
        <f>IF(ISNUMBER(O182),O182*(1-N182),O182)</f>
        <v/>
      </c>
      <c r="Q182" s="10" t="inlineStr">
        <is>
          <t>TE Raychem RSTI-CC</t>
        </is>
      </c>
      <c r="R182" s="10" t="inlineStr">
        <is>
          <t>Connects onto rear of RSTI-58 base connector for parallel / double cable termination; Core insulation dia: 12.7 - 23.4 mm; EPDM conductive screen; 800A continuous rating</t>
        </is>
      </c>
      <c r="S182" s="10" t="inlineStr">
        <is>
          <t>Aegis Plus Double Cable Terminations (with RSTI-58)</t>
        </is>
      </c>
      <c r="T182" s="9" t="inlineStr">
        <is>
          <t>3 pcs/set</t>
        </is>
      </c>
      <c r="U182" s="10" t="inlineStr">
        <is>
          <t>Enables double cable entry per phase in spacious Aegis cable compartment</t>
        </is>
      </c>
      <c r="V182" s="9" t="n">
        <v>32</v>
      </c>
    </row>
    <row r="183" ht="20" customHeight="1">
      <c r="A183" s="5" t="n">
        <v>179</v>
      </c>
      <c r="B183" s="6" t="inlineStr">
        <is>
          <t>TE Raychem</t>
        </is>
      </c>
      <c r="C183" s="6" t="inlineStr">
        <is>
          <t>Cable Bushings &amp; Connectors</t>
        </is>
      </c>
      <c r="D183" s="6" t="inlineStr">
        <is>
          <t>TE Raychem RSTI-CC-58 Screened Coupling Connector 800A with DIN Cu Compression Lug (70 mm²)</t>
        </is>
      </c>
      <c r="E183" s="6" t="inlineStr">
        <is>
          <t>RSTI-CC-58 (70 mm² Cu)</t>
        </is>
      </c>
      <c r="F183" s="6" t="inlineStr">
        <is>
          <t>Cross Section: 70 mm²</t>
        </is>
      </c>
      <c r="G183" s="6" t="inlineStr">
        <is>
          <t>Current: 800A</t>
        </is>
      </c>
      <c r="H183" s="6" t="inlineStr">
        <is>
          <t>Voltage: Up to 24kV</t>
        </is>
      </c>
      <c r="I183" s="6" t="inlineStr">
        <is>
          <t>Conductor: Copper (Cu)</t>
        </is>
      </c>
      <c r="J183" s="6" t="inlineStr">
        <is>
          <t>Application: Double Cable Coupling</t>
        </is>
      </c>
      <c r="K183" s="6" t="inlineStr">
        <is>
          <t>Coupling Connector</t>
        </is>
      </c>
      <c r="L183" s="6" t="inlineStr">
        <is>
          <t>Stocked</t>
        </is>
      </c>
      <c r="M183" s="6" t="inlineStr">
        <is>
          <t>RSTI-CC-5833</t>
        </is>
      </c>
      <c r="N183" s="7" t="n"/>
      <c r="O183" s="8" t="inlineStr">
        <is>
          <t>Upon request</t>
        </is>
      </c>
      <c r="P183" s="8">
        <f>IF(ISNUMBER(O183),O183*(1-N183),O183)</f>
        <v/>
      </c>
      <c r="Q183" s="6" t="inlineStr">
        <is>
          <t>TE Raychem RSTI-CC</t>
        </is>
      </c>
      <c r="R183" s="6" t="inlineStr">
        <is>
          <t>Connects onto rear of RSTI-58 base connector for parallel / double cable termination; Core insulation dia: 12.7 - 23.4 mm; EPDM conductive screen; 800A continuous rating</t>
        </is>
      </c>
      <c r="S183" s="6" t="inlineStr">
        <is>
          <t>Aegis Plus Double Cable Terminations (with RSTI-58)</t>
        </is>
      </c>
      <c r="T183" s="5" t="inlineStr">
        <is>
          <t>3 pcs/set</t>
        </is>
      </c>
      <c r="U183" s="6" t="inlineStr">
        <is>
          <t>Enables double cable entry per phase in spacious Aegis cable compartment</t>
        </is>
      </c>
      <c r="V183" s="5" t="n">
        <v>32</v>
      </c>
    </row>
    <row r="184" ht="20" customHeight="1">
      <c r="A184" s="9" t="n">
        <v>180</v>
      </c>
      <c r="B184" s="10" t="inlineStr">
        <is>
          <t>TE Raychem</t>
        </is>
      </c>
      <c r="C184" s="10" t="inlineStr">
        <is>
          <t>Cable Bushings &amp; Connectors</t>
        </is>
      </c>
      <c r="D184" s="10" t="inlineStr">
        <is>
          <t>TE Raychem RSTI-CC-58 Screened Coupling Connector 800A with DIN Al Compression Lug (95 mm² (12kV))</t>
        </is>
      </c>
      <c r="E184" s="10" t="inlineStr">
        <is>
          <t>RSTI-CC-58 (95 mm² (12kV) Al)</t>
        </is>
      </c>
      <c r="F184" s="10" t="inlineStr">
        <is>
          <t>Cross Section: 95 mm² (12kV)</t>
        </is>
      </c>
      <c r="G184" s="10" t="inlineStr">
        <is>
          <t>Current: 800A</t>
        </is>
      </c>
      <c r="H184" s="10" t="inlineStr">
        <is>
          <t>Voltage: Up to 24kV</t>
        </is>
      </c>
      <c r="I184" s="10" t="inlineStr">
        <is>
          <t>Conductor: Aluminum (Al)</t>
        </is>
      </c>
      <c r="J184" s="10" t="inlineStr">
        <is>
          <t>Application: Double Cable Coupling</t>
        </is>
      </c>
      <c r="K184" s="10" t="inlineStr">
        <is>
          <t>Coupling Connector</t>
        </is>
      </c>
      <c r="L184" s="10" t="inlineStr">
        <is>
          <t>Stocked</t>
        </is>
      </c>
      <c r="M184" s="10" t="inlineStr">
        <is>
          <t>RSTI-CC-5814</t>
        </is>
      </c>
      <c r="N184" s="11" t="n"/>
      <c r="O184" s="12" t="inlineStr">
        <is>
          <t>Upon request</t>
        </is>
      </c>
      <c r="P184" s="12">
        <f>IF(ISNUMBER(O184),O184*(1-N184),O184)</f>
        <v/>
      </c>
      <c r="Q184" s="10" t="inlineStr">
        <is>
          <t>TE Raychem RSTI-CC</t>
        </is>
      </c>
      <c r="R184" s="10" t="inlineStr">
        <is>
          <t>Connects onto rear of RSTI-58 base connector for parallel / double cable termination; Core insulation dia: 12.7 - 23.4 mm; EPDM conductive screen; 800A continuous rating</t>
        </is>
      </c>
      <c r="S184" s="10" t="inlineStr">
        <is>
          <t>Aegis Plus Double Cable Terminations (with RSTI-58)</t>
        </is>
      </c>
      <c r="T184" s="9" t="inlineStr">
        <is>
          <t>3 pcs/set</t>
        </is>
      </c>
      <c r="U184" s="10" t="inlineStr">
        <is>
          <t>Enables double cable entry per phase in spacious Aegis cable compartment</t>
        </is>
      </c>
      <c r="V184" s="9" t="n">
        <v>32</v>
      </c>
    </row>
    <row r="185" ht="20" customHeight="1">
      <c r="A185" s="5" t="n">
        <v>181</v>
      </c>
      <c r="B185" s="6" t="inlineStr">
        <is>
          <t>TE Raychem</t>
        </is>
      </c>
      <c r="C185" s="6" t="inlineStr">
        <is>
          <t>Cable Bushings &amp; Connectors</t>
        </is>
      </c>
      <c r="D185" s="6" t="inlineStr">
        <is>
          <t>TE Raychem RSTI-CC-58 Screened Coupling Connector 800A with DIN Cu Compression Lug (95 mm² (12kV))</t>
        </is>
      </c>
      <c r="E185" s="6" t="inlineStr">
        <is>
          <t>RSTI-CC-58 (95 mm² (12kV) Cu)</t>
        </is>
      </c>
      <c r="F185" s="6" t="inlineStr">
        <is>
          <t>Cross Section: 95 mm² (12kV)</t>
        </is>
      </c>
      <c r="G185" s="6" t="inlineStr">
        <is>
          <t>Current: 800A</t>
        </is>
      </c>
      <c r="H185" s="6" t="inlineStr">
        <is>
          <t>Voltage: Up to 24kV</t>
        </is>
      </c>
      <c r="I185" s="6" t="inlineStr">
        <is>
          <t>Conductor: Copper (Cu)</t>
        </is>
      </c>
      <c r="J185" s="6" t="inlineStr">
        <is>
          <t>Application: Double Cable Coupling</t>
        </is>
      </c>
      <c r="K185" s="6" t="inlineStr">
        <is>
          <t>Coupling Connector</t>
        </is>
      </c>
      <c r="L185" s="6" t="inlineStr">
        <is>
          <t>Stocked</t>
        </is>
      </c>
      <c r="M185" s="6" t="inlineStr">
        <is>
          <t>RSTI-CC-5834</t>
        </is>
      </c>
      <c r="N185" s="7" t="n"/>
      <c r="O185" s="8" t="inlineStr">
        <is>
          <t>Upon request</t>
        </is>
      </c>
      <c r="P185" s="8">
        <f>IF(ISNUMBER(O185),O185*(1-N185),O185)</f>
        <v/>
      </c>
      <c r="Q185" s="6" t="inlineStr">
        <is>
          <t>TE Raychem RSTI-CC</t>
        </is>
      </c>
      <c r="R185" s="6" t="inlineStr">
        <is>
          <t>Connects onto rear of RSTI-58 base connector for parallel / double cable termination; Core insulation dia: 12.7 - 23.4 mm; EPDM conductive screen; 800A continuous rating</t>
        </is>
      </c>
      <c r="S185" s="6" t="inlineStr">
        <is>
          <t>Aegis Plus Double Cable Terminations (with RSTI-58)</t>
        </is>
      </c>
      <c r="T185" s="5" t="inlineStr">
        <is>
          <t>3 pcs/set</t>
        </is>
      </c>
      <c r="U185" s="6" t="inlineStr">
        <is>
          <t>Enables double cable entry per phase in spacious Aegis cable compartment</t>
        </is>
      </c>
      <c r="V185" s="5" t="n">
        <v>32</v>
      </c>
    </row>
    <row r="186" ht="20" customHeight="1">
      <c r="A186" s="9" t="n">
        <v>182</v>
      </c>
      <c r="B186" s="10" t="inlineStr">
        <is>
          <t>TE Raychem</t>
        </is>
      </c>
      <c r="C186" s="10" t="inlineStr">
        <is>
          <t>Cable Bushings &amp; Connectors</t>
        </is>
      </c>
      <c r="D186" s="10" t="inlineStr">
        <is>
          <t>TE Raychem RSTI-CC-58 Screened Coupling Connector 800A with DIN Al Compression Lug (95 mm² (24kV))</t>
        </is>
      </c>
      <c r="E186" s="10" t="inlineStr">
        <is>
          <t>RSTI-CC-58 (95 mm² (24kV) Al)</t>
        </is>
      </c>
      <c r="F186" s="10" t="inlineStr">
        <is>
          <t>Cross Section: 95 mm² (24kV)</t>
        </is>
      </c>
      <c r="G186" s="10" t="inlineStr">
        <is>
          <t>Current: 800A</t>
        </is>
      </c>
      <c r="H186" s="10" t="inlineStr">
        <is>
          <t>Voltage: Up to 24kV</t>
        </is>
      </c>
      <c r="I186" s="10" t="inlineStr">
        <is>
          <t>Conductor: Aluminum (Al)</t>
        </is>
      </c>
      <c r="J186" s="10" t="inlineStr">
        <is>
          <t>Application: Double Cable Coupling</t>
        </is>
      </c>
      <c r="K186" s="10" t="inlineStr">
        <is>
          <t>Coupling Connector</t>
        </is>
      </c>
      <c r="L186" s="10" t="inlineStr">
        <is>
          <t>Stocked</t>
        </is>
      </c>
      <c r="M186" s="10" t="inlineStr">
        <is>
          <t>RSTI-CC-5824</t>
        </is>
      </c>
      <c r="N186" s="11" t="n"/>
      <c r="O186" s="12" t="inlineStr">
        <is>
          <t>Upon request</t>
        </is>
      </c>
      <c r="P186" s="12">
        <f>IF(ISNUMBER(O186),O186*(1-N186),O186)</f>
        <v/>
      </c>
      <c r="Q186" s="10" t="inlineStr">
        <is>
          <t>TE Raychem RSTI-CC</t>
        </is>
      </c>
      <c r="R186" s="10" t="inlineStr">
        <is>
          <t>Connects onto rear of RSTI-58 base connector for parallel / double cable termination; Core insulation dia: 12.7 - 23.4 mm; EPDM conductive screen; 800A continuous rating</t>
        </is>
      </c>
      <c r="S186" s="10" t="inlineStr">
        <is>
          <t>Aegis Plus Double Cable Terminations (with RSTI-58)</t>
        </is>
      </c>
      <c r="T186" s="9" t="inlineStr">
        <is>
          <t>3 pcs/set</t>
        </is>
      </c>
      <c r="U186" s="10" t="inlineStr">
        <is>
          <t>Enables double cable entry per phase in spacious Aegis cable compartment</t>
        </is>
      </c>
      <c r="V186" s="9" t="n">
        <v>32</v>
      </c>
    </row>
    <row r="187" ht="20" customHeight="1">
      <c r="A187" s="5" t="n">
        <v>183</v>
      </c>
      <c r="B187" s="6" t="inlineStr">
        <is>
          <t>TE Raychem</t>
        </is>
      </c>
      <c r="C187" s="6" t="inlineStr">
        <is>
          <t>Cable Bushings &amp; Connectors</t>
        </is>
      </c>
      <c r="D187" s="6" t="inlineStr">
        <is>
          <t>TE Raychem RSTI-CC-58 Screened Coupling Connector 800A with DIN Cu Compression Lug (95 mm² (24kV))</t>
        </is>
      </c>
      <c r="E187" s="6" t="inlineStr">
        <is>
          <t>RSTI-CC-58 (95 mm² (24kV) Cu)</t>
        </is>
      </c>
      <c r="F187" s="6" t="inlineStr">
        <is>
          <t>Cross Section: 95 mm² (24kV)</t>
        </is>
      </c>
      <c r="G187" s="6" t="inlineStr">
        <is>
          <t>Current: 800A</t>
        </is>
      </c>
      <c r="H187" s="6" t="inlineStr">
        <is>
          <t>Voltage: Up to 24kV</t>
        </is>
      </c>
      <c r="I187" s="6" t="inlineStr">
        <is>
          <t>Conductor: Copper (Cu)</t>
        </is>
      </c>
      <c r="J187" s="6" t="inlineStr">
        <is>
          <t>Application: Double Cable Coupling</t>
        </is>
      </c>
      <c r="K187" s="6" t="inlineStr">
        <is>
          <t>Coupling Connector</t>
        </is>
      </c>
      <c r="L187" s="6" t="inlineStr">
        <is>
          <t>Stocked</t>
        </is>
      </c>
      <c r="M187" s="6" t="inlineStr">
        <is>
          <t>RSTI-CC-5844</t>
        </is>
      </c>
      <c r="N187" s="7" t="n"/>
      <c r="O187" s="8" t="inlineStr">
        <is>
          <t>Upon request</t>
        </is>
      </c>
      <c r="P187" s="8">
        <f>IF(ISNUMBER(O187),O187*(1-N187),O187)</f>
        <v/>
      </c>
      <c r="Q187" s="6" t="inlineStr">
        <is>
          <t>TE Raychem RSTI-CC</t>
        </is>
      </c>
      <c r="R187" s="6" t="inlineStr">
        <is>
          <t>Connects onto rear of RSTI-58 base connector for parallel / double cable termination; Core insulation dia: 12.7 - 23.4 mm; EPDM conductive screen; 800A continuous rating</t>
        </is>
      </c>
      <c r="S187" s="6" t="inlineStr">
        <is>
          <t>Aegis Plus Double Cable Terminations (with RSTI-58)</t>
        </is>
      </c>
      <c r="T187" s="5" t="inlineStr">
        <is>
          <t>3 pcs/set</t>
        </is>
      </c>
      <c r="U187" s="6" t="inlineStr">
        <is>
          <t>Enables double cable entry per phase in spacious Aegis cable compartment</t>
        </is>
      </c>
      <c r="V187" s="5" t="n">
        <v>32</v>
      </c>
    </row>
    <row r="188" ht="20" customHeight="1">
      <c r="A188" s="9" t="n">
        <v>184</v>
      </c>
      <c r="B188" s="10" t="inlineStr">
        <is>
          <t>TE Raychem</t>
        </is>
      </c>
      <c r="C188" s="10" t="inlineStr">
        <is>
          <t>Cable Bushings &amp; Connectors</t>
        </is>
      </c>
      <c r="D188" s="10" t="inlineStr">
        <is>
          <t>TE Raychem RSTI-CC-58 Screened Coupling Connector 800A with DIN Al Compression Lug (120 mm² (12kV))</t>
        </is>
      </c>
      <c r="E188" s="10" t="inlineStr">
        <is>
          <t>RSTI-CC-58 (120 mm² (12kV) Al)</t>
        </is>
      </c>
      <c r="F188" s="10" t="inlineStr">
        <is>
          <t>Cross Section: 120 mm² (12kV)</t>
        </is>
      </c>
      <c r="G188" s="10" t="inlineStr">
        <is>
          <t>Current: 800A</t>
        </is>
      </c>
      <c r="H188" s="10" t="inlineStr">
        <is>
          <t>Voltage: Up to 24kV</t>
        </is>
      </c>
      <c r="I188" s="10" t="inlineStr">
        <is>
          <t>Conductor: Aluminum (Al)</t>
        </is>
      </c>
      <c r="J188" s="10" t="inlineStr">
        <is>
          <t>Application: Double Cable Coupling</t>
        </is>
      </c>
      <c r="K188" s="10" t="inlineStr">
        <is>
          <t>Coupling Connector</t>
        </is>
      </c>
      <c r="L188" s="10" t="inlineStr">
        <is>
          <t>Stocked</t>
        </is>
      </c>
      <c r="M188" s="10" t="inlineStr">
        <is>
          <t>RSTI-CC-5815</t>
        </is>
      </c>
      <c r="N188" s="11" t="n"/>
      <c r="O188" s="12" t="inlineStr">
        <is>
          <t>Upon request</t>
        </is>
      </c>
      <c r="P188" s="12">
        <f>IF(ISNUMBER(O188),O188*(1-N188),O188)</f>
        <v/>
      </c>
      <c r="Q188" s="10" t="inlineStr">
        <is>
          <t>TE Raychem RSTI-CC</t>
        </is>
      </c>
      <c r="R188" s="10" t="inlineStr">
        <is>
          <t>Connects onto rear of RSTI-58 base connector for parallel / double cable termination; Core insulation dia: 12.7 - 23.4 mm; EPDM conductive screen; 800A continuous rating</t>
        </is>
      </c>
      <c r="S188" s="10" t="inlineStr">
        <is>
          <t>Aegis Plus Double Cable Terminations (with RSTI-58)</t>
        </is>
      </c>
      <c r="T188" s="9" t="inlineStr">
        <is>
          <t>3 pcs/set</t>
        </is>
      </c>
      <c r="U188" s="10" t="inlineStr">
        <is>
          <t>Enables double cable entry per phase in spacious Aegis cable compartment</t>
        </is>
      </c>
      <c r="V188" s="9" t="n">
        <v>32</v>
      </c>
    </row>
    <row r="189" ht="20" customHeight="1">
      <c r="A189" s="5" t="n">
        <v>185</v>
      </c>
      <c r="B189" s="6" t="inlineStr">
        <is>
          <t>TE Raychem</t>
        </is>
      </c>
      <c r="C189" s="6" t="inlineStr">
        <is>
          <t>Cable Bushings &amp; Connectors</t>
        </is>
      </c>
      <c r="D189" s="6" t="inlineStr">
        <is>
          <t>TE Raychem RSTI-CC-58 Screened Coupling Connector 800A with DIN Cu Compression Lug (120 mm² (12kV))</t>
        </is>
      </c>
      <c r="E189" s="6" t="inlineStr">
        <is>
          <t>RSTI-CC-58 (120 mm² (12kV) Cu)</t>
        </is>
      </c>
      <c r="F189" s="6" t="inlineStr">
        <is>
          <t>Cross Section: 120 mm² (12kV)</t>
        </is>
      </c>
      <c r="G189" s="6" t="inlineStr">
        <is>
          <t>Current: 800A</t>
        </is>
      </c>
      <c r="H189" s="6" t="inlineStr">
        <is>
          <t>Voltage: Up to 24kV</t>
        </is>
      </c>
      <c r="I189" s="6" t="inlineStr">
        <is>
          <t>Conductor: Copper (Cu)</t>
        </is>
      </c>
      <c r="J189" s="6" t="inlineStr">
        <is>
          <t>Application: Double Cable Coupling</t>
        </is>
      </c>
      <c r="K189" s="6" t="inlineStr">
        <is>
          <t>Coupling Connector</t>
        </is>
      </c>
      <c r="L189" s="6" t="inlineStr">
        <is>
          <t>Stocked</t>
        </is>
      </c>
      <c r="M189" s="6" t="inlineStr">
        <is>
          <t>RSTI-CC-5835</t>
        </is>
      </c>
      <c r="N189" s="7" t="n"/>
      <c r="O189" s="8" t="inlineStr">
        <is>
          <t>Upon request</t>
        </is>
      </c>
      <c r="P189" s="8">
        <f>IF(ISNUMBER(O189),O189*(1-N189),O189)</f>
        <v/>
      </c>
      <c r="Q189" s="6" t="inlineStr">
        <is>
          <t>TE Raychem RSTI-CC</t>
        </is>
      </c>
      <c r="R189" s="6" t="inlineStr">
        <is>
          <t>Connects onto rear of RSTI-58 base connector for parallel / double cable termination; Core insulation dia: 12.7 - 23.4 mm; EPDM conductive screen; 800A continuous rating</t>
        </is>
      </c>
      <c r="S189" s="6" t="inlineStr">
        <is>
          <t>Aegis Plus Double Cable Terminations (with RSTI-58)</t>
        </is>
      </c>
      <c r="T189" s="5" t="inlineStr">
        <is>
          <t>3 pcs/set</t>
        </is>
      </c>
      <c r="U189" s="6" t="inlineStr">
        <is>
          <t>Enables double cable entry per phase in spacious Aegis cable compartment</t>
        </is>
      </c>
      <c r="V189" s="5" t="n">
        <v>32</v>
      </c>
    </row>
    <row r="190" ht="20" customHeight="1">
      <c r="A190" s="9" t="n">
        <v>186</v>
      </c>
      <c r="B190" s="10" t="inlineStr">
        <is>
          <t>TE Raychem</t>
        </is>
      </c>
      <c r="C190" s="10" t="inlineStr">
        <is>
          <t>Cable Bushings &amp; Connectors</t>
        </is>
      </c>
      <c r="D190" s="10" t="inlineStr">
        <is>
          <t>TE Raychem RSTI-CC-58 Screened Coupling Connector 800A with DIN Al Compression Lug (120 mm² (24kV))</t>
        </is>
      </c>
      <c r="E190" s="10" t="inlineStr">
        <is>
          <t>RSTI-CC-58 (120 mm² (24kV) Al)</t>
        </is>
      </c>
      <c r="F190" s="10" t="inlineStr">
        <is>
          <t>Cross Section: 120 mm² (24kV)</t>
        </is>
      </c>
      <c r="G190" s="10" t="inlineStr">
        <is>
          <t>Current: 800A</t>
        </is>
      </c>
      <c r="H190" s="10" t="inlineStr">
        <is>
          <t>Voltage: Up to 24kV</t>
        </is>
      </c>
      <c r="I190" s="10" t="inlineStr">
        <is>
          <t>Conductor: Aluminum (Al)</t>
        </is>
      </c>
      <c r="J190" s="10" t="inlineStr">
        <is>
          <t>Application: Double Cable Coupling</t>
        </is>
      </c>
      <c r="K190" s="10" t="inlineStr">
        <is>
          <t>Coupling Connector</t>
        </is>
      </c>
      <c r="L190" s="10" t="inlineStr">
        <is>
          <t>Stocked</t>
        </is>
      </c>
      <c r="M190" s="10" t="inlineStr">
        <is>
          <t>RSTI-CC-5825</t>
        </is>
      </c>
      <c r="N190" s="11" t="n"/>
      <c r="O190" s="12" t="inlineStr">
        <is>
          <t>Upon request</t>
        </is>
      </c>
      <c r="P190" s="12">
        <f>IF(ISNUMBER(O190),O190*(1-N190),O190)</f>
        <v/>
      </c>
      <c r="Q190" s="10" t="inlineStr">
        <is>
          <t>TE Raychem RSTI-CC</t>
        </is>
      </c>
      <c r="R190" s="10" t="inlineStr">
        <is>
          <t>Connects onto rear of RSTI-58 base connector for parallel / double cable termination; Core insulation dia: 21.2 - 34.6 mm; EPDM conductive screen; 800A continuous rating</t>
        </is>
      </c>
      <c r="S190" s="10" t="inlineStr">
        <is>
          <t>Aegis Plus Double Cable Terminations (with RSTI-58)</t>
        </is>
      </c>
      <c r="T190" s="9" t="inlineStr">
        <is>
          <t>3 pcs/set</t>
        </is>
      </c>
      <c r="U190" s="10" t="inlineStr">
        <is>
          <t>Enables double cable entry per phase in spacious Aegis cable compartment</t>
        </is>
      </c>
      <c r="V190" s="9" t="n">
        <v>32</v>
      </c>
    </row>
    <row r="191" ht="20" customHeight="1">
      <c r="A191" s="5" t="n">
        <v>187</v>
      </c>
      <c r="B191" s="6" t="inlineStr">
        <is>
          <t>TE Raychem</t>
        </is>
      </c>
      <c r="C191" s="6" t="inlineStr">
        <is>
          <t>Cable Bushings &amp; Connectors</t>
        </is>
      </c>
      <c r="D191" s="6" t="inlineStr">
        <is>
          <t>TE Raychem RSTI-CC-58 Screened Coupling Connector 800A with DIN Cu Compression Lug (120 mm² (24kV))</t>
        </is>
      </c>
      <c r="E191" s="6" t="inlineStr">
        <is>
          <t>RSTI-CC-58 (120 mm² (24kV) Cu)</t>
        </is>
      </c>
      <c r="F191" s="6" t="inlineStr">
        <is>
          <t>Cross Section: 120 mm² (24kV)</t>
        </is>
      </c>
      <c r="G191" s="6" t="inlineStr">
        <is>
          <t>Current: 800A</t>
        </is>
      </c>
      <c r="H191" s="6" t="inlineStr">
        <is>
          <t>Voltage: Up to 24kV</t>
        </is>
      </c>
      <c r="I191" s="6" t="inlineStr">
        <is>
          <t>Conductor: Copper (Cu)</t>
        </is>
      </c>
      <c r="J191" s="6" t="inlineStr">
        <is>
          <t>Application: Double Cable Coupling</t>
        </is>
      </c>
      <c r="K191" s="6" t="inlineStr">
        <is>
          <t>Coupling Connector</t>
        </is>
      </c>
      <c r="L191" s="6" t="inlineStr">
        <is>
          <t>Stocked</t>
        </is>
      </c>
      <c r="M191" s="6" t="inlineStr">
        <is>
          <t>RSTI-CC-5845</t>
        </is>
      </c>
      <c r="N191" s="7" t="n"/>
      <c r="O191" s="8" t="inlineStr">
        <is>
          <t>Upon request</t>
        </is>
      </c>
      <c r="P191" s="8">
        <f>IF(ISNUMBER(O191),O191*(1-N191),O191)</f>
        <v/>
      </c>
      <c r="Q191" s="6" t="inlineStr">
        <is>
          <t>TE Raychem RSTI-CC</t>
        </is>
      </c>
      <c r="R191" s="6" t="inlineStr">
        <is>
          <t>Connects onto rear of RSTI-58 base connector for parallel / double cable termination; Core insulation dia: 21.2 - 34.6 mm; EPDM conductive screen; 800A continuous rating</t>
        </is>
      </c>
      <c r="S191" s="6" t="inlineStr">
        <is>
          <t>Aegis Plus Double Cable Terminations (with RSTI-58)</t>
        </is>
      </c>
      <c r="T191" s="5" t="inlineStr">
        <is>
          <t>3 pcs/set</t>
        </is>
      </c>
      <c r="U191" s="6" t="inlineStr">
        <is>
          <t>Enables double cable entry per phase in spacious Aegis cable compartment</t>
        </is>
      </c>
      <c r="V191" s="5" t="n">
        <v>32</v>
      </c>
    </row>
    <row r="192" ht="20" customHeight="1">
      <c r="A192" s="9" t="n">
        <v>188</v>
      </c>
      <c r="B192" s="10" t="inlineStr">
        <is>
          <t>TE Raychem</t>
        </is>
      </c>
      <c r="C192" s="10" t="inlineStr">
        <is>
          <t>Cable Bushings &amp; Connectors</t>
        </is>
      </c>
      <c r="D192" s="10" t="inlineStr">
        <is>
          <t>TE Raychem RSTI-CC-58 Screened Coupling Connector 800A with DIN Al Compression Lug (150 mm²)</t>
        </is>
      </c>
      <c r="E192" s="10" t="inlineStr">
        <is>
          <t>RSTI-CC-58 (150 mm² Al)</t>
        </is>
      </c>
      <c r="F192" s="10" t="inlineStr">
        <is>
          <t>Cross Section: 150 mm²</t>
        </is>
      </c>
      <c r="G192" s="10" t="inlineStr">
        <is>
          <t>Current: 800A</t>
        </is>
      </c>
      <c r="H192" s="10" t="inlineStr">
        <is>
          <t>Voltage: Up to 24kV</t>
        </is>
      </c>
      <c r="I192" s="10" t="inlineStr">
        <is>
          <t>Conductor: Aluminum (Al)</t>
        </is>
      </c>
      <c r="J192" s="10" t="inlineStr">
        <is>
          <t>Application: Double Cable Coupling</t>
        </is>
      </c>
      <c r="K192" s="10" t="inlineStr">
        <is>
          <t>Coupling Connector</t>
        </is>
      </c>
      <c r="L192" s="10" t="inlineStr">
        <is>
          <t>Stocked</t>
        </is>
      </c>
      <c r="M192" s="10" t="inlineStr">
        <is>
          <t>RSTI-CC-5826</t>
        </is>
      </c>
      <c r="N192" s="11" t="n"/>
      <c r="O192" s="12" t="inlineStr">
        <is>
          <t>Upon request</t>
        </is>
      </c>
      <c r="P192" s="12">
        <f>IF(ISNUMBER(O192),O192*(1-N192),O192)</f>
        <v/>
      </c>
      <c r="Q192" s="10" t="inlineStr">
        <is>
          <t>TE Raychem RSTI-CC</t>
        </is>
      </c>
      <c r="R192" s="10" t="inlineStr">
        <is>
          <t>Connects onto rear of RSTI-58 base connector for parallel / double cable termination; Core insulation dia: 21.2 - 34.6 mm; EPDM conductive screen; 800A continuous rating</t>
        </is>
      </c>
      <c r="S192" s="10" t="inlineStr">
        <is>
          <t>Aegis Plus Double Cable Terminations (with RSTI-58)</t>
        </is>
      </c>
      <c r="T192" s="9" t="inlineStr">
        <is>
          <t>3 pcs/set</t>
        </is>
      </c>
      <c r="U192" s="10" t="inlineStr">
        <is>
          <t>Enables double cable entry per phase in spacious Aegis cable compartment</t>
        </is>
      </c>
      <c r="V192" s="9" t="n">
        <v>32</v>
      </c>
    </row>
    <row r="193" ht="20" customHeight="1">
      <c r="A193" s="5" t="n">
        <v>189</v>
      </c>
      <c r="B193" s="6" t="inlineStr">
        <is>
          <t>TE Raychem</t>
        </is>
      </c>
      <c r="C193" s="6" t="inlineStr">
        <is>
          <t>Cable Bushings &amp; Connectors</t>
        </is>
      </c>
      <c r="D193" s="6" t="inlineStr">
        <is>
          <t>TE Raychem RSTI-CC-58 Screened Coupling Connector 800A with DIN Cu Compression Lug (150 mm²)</t>
        </is>
      </c>
      <c r="E193" s="6" t="inlineStr">
        <is>
          <t>RSTI-CC-58 (150 mm² Cu)</t>
        </is>
      </c>
      <c r="F193" s="6" t="inlineStr">
        <is>
          <t>Cross Section: 150 mm²</t>
        </is>
      </c>
      <c r="G193" s="6" t="inlineStr">
        <is>
          <t>Current: 800A</t>
        </is>
      </c>
      <c r="H193" s="6" t="inlineStr">
        <is>
          <t>Voltage: Up to 24kV</t>
        </is>
      </c>
      <c r="I193" s="6" t="inlineStr">
        <is>
          <t>Conductor: Copper (Cu)</t>
        </is>
      </c>
      <c r="J193" s="6" t="inlineStr">
        <is>
          <t>Application: Double Cable Coupling</t>
        </is>
      </c>
      <c r="K193" s="6" t="inlineStr">
        <is>
          <t>Coupling Connector</t>
        </is>
      </c>
      <c r="L193" s="6" t="inlineStr">
        <is>
          <t>Stocked</t>
        </is>
      </c>
      <c r="M193" s="6" t="inlineStr">
        <is>
          <t>RSTI-CC-5846</t>
        </is>
      </c>
      <c r="N193" s="7" t="n"/>
      <c r="O193" s="8" t="inlineStr">
        <is>
          <t>Upon request</t>
        </is>
      </c>
      <c r="P193" s="8">
        <f>IF(ISNUMBER(O193),O193*(1-N193),O193)</f>
        <v/>
      </c>
      <c r="Q193" s="6" t="inlineStr">
        <is>
          <t>TE Raychem RSTI-CC</t>
        </is>
      </c>
      <c r="R193" s="6" t="inlineStr">
        <is>
          <t>Connects onto rear of RSTI-58 base connector for parallel / double cable termination; Core insulation dia: 21.2 - 34.6 mm; EPDM conductive screen; 800A continuous rating</t>
        </is>
      </c>
      <c r="S193" s="6" t="inlineStr">
        <is>
          <t>Aegis Plus Double Cable Terminations (with RSTI-58)</t>
        </is>
      </c>
      <c r="T193" s="5" t="inlineStr">
        <is>
          <t>3 pcs/set</t>
        </is>
      </c>
      <c r="U193" s="6" t="inlineStr">
        <is>
          <t>Enables double cable entry per phase in spacious Aegis cable compartment</t>
        </is>
      </c>
      <c r="V193" s="5" t="n">
        <v>32</v>
      </c>
    </row>
    <row r="194" ht="20" customHeight="1">
      <c r="A194" s="9" t="n">
        <v>190</v>
      </c>
      <c r="B194" s="10" t="inlineStr">
        <is>
          <t>TE Raychem</t>
        </is>
      </c>
      <c r="C194" s="10" t="inlineStr">
        <is>
          <t>Cable Bushings &amp; Connectors</t>
        </is>
      </c>
      <c r="D194" s="10" t="inlineStr">
        <is>
          <t>TE Raychem RSTI-CC-58 Screened Coupling Connector 800A with DIN Al Compression Lug (185 mm²)</t>
        </is>
      </c>
      <c r="E194" s="10" t="inlineStr">
        <is>
          <t>RSTI-CC-58 (185 mm² Al)</t>
        </is>
      </c>
      <c r="F194" s="10" t="inlineStr">
        <is>
          <t>Cross Section: 185 mm²</t>
        </is>
      </c>
      <c r="G194" s="10" t="inlineStr">
        <is>
          <t>Current: 800A</t>
        </is>
      </c>
      <c r="H194" s="10" t="inlineStr">
        <is>
          <t>Voltage: Up to 24kV</t>
        </is>
      </c>
      <c r="I194" s="10" t="inlineStr">
        <is>
          <t>Conductor: Aluminum (Al)</t>
        </is>
      </c>
      <c r="J194" s="10" t="inlineStr">
        <is>
          <t>Application: Double Cable Coupling</t>
        </is>
      </c>
      <c r="K194" s="10" t="inlineStr">
        <is>
          <t>Coupling Connector</t>
        </is>
      </c>
      <c r="L194" s="10" t="inlineStr">
        <is>
          <t>Stocked</t>
        </is>
      </c>
      <c r="M194" s="10" t="inlineStr">
        <is>
          <t>RSTI-CC-5827</t>
        </is>
      </c>
      <c r="N194" s="11" t="n"/>
      <c r="O194" s="12" t="inlineStr">
        <is>
          <t>Upon request</t>
        </is>
      </c>
      <c r="P194" s="12">
        <f>IF(ISNUMBER(O194),O194*(1-N194),O194)</f>
        <v/>
      </c>
      <c r="Q194" s="10" t="inlineStr">
        <is>
          <t>TE Raychem RSTI-CC</t>
        </is>
      </c>
      <c r="R194" s="10" t="inlineStr">
        <is>
          <t>Connects onto rear of RSTI-58 base connector for parallel / double cable termination; Core insulation dia: 21.2 - 34.6 mm; EPDM conductive screen; 800A continuous rating</t>
        </is>
      </c>
      <c r="S194" s="10" t="inlineStr">
        <is>
          <t>Aegis Plus Double Cable Terminations (with RSTI-58)</t>
        </is>
      </c>
      <c r="T194" s="9" t="inlineStr">
        <is>
          <t>3 pcs/set</t>
        </is>
      </c>
      <c r="U194" s="10" t="inlineStr">
        <is>
          <t>Enables double cable entry per phase in spacious Aegis cable compartment</t>
        </is>
      </c>
      <c r="V194" s="9" t="n">
        <v>32</v>
      </c>
    </row>
    <row r="195" ht="20" customHeight="1">
      <c r="A195" s="5" t="n">
        <v>191</v>
      </c>
      <c r="B195" s="6" t="inlineStr">
        <is>
          <t>TE Raychem</t>
        </is>
      </c>
      <c r="C195" s="6" t="inlineStr">
        <is>
          <t>Cable Bushings &amp; Connectors</t>
        </is>
      </c>
      <c r="D195" s="6" t="inlineStr">
        <is>
          <t>TE Raychem RSTI-CC-58 Screened Coupling Connector 800A with DIN Cu Compression Lug (185 mm²)</t>
        </is>
      </c>
      <c r="E195" s="6" t="inlineStr">
        <is>
          <t>RSTI-CC-58 (185 mm² Cu)</t>
        </is>
      </c>
      <c r="F195" s="6" t="inlineStr">
        <is>
          <t>Cross Section: 185 mm²</t>
        </is>
      </c>
      <c r="G195" s="6" t="inlineStr">
        <is>
          <t>Current: 800A</t>
        </is>
      </c>
      <c r="H195" s="6" t="inlineStr">
        <is>
          <t>Voltage: Up to 24kV</t>
        </is>
      </c>
      <c r="I195" s="6" t="inlineStr">
        <is>
          <t>Conductor: Copper (Cu)</t>
        </is>
      </c>
      <c r="J195" s="6" t="inlineStr">
        <is>
          <t>Application: Double Cable Coupling</t>
        </is>
      </c>
      <c r="K195" s="6" t="inlineStr">
        <is>
          <t>Coupling Connector</t>
        </is>
      </c>
      <c r="L195" s="6" t="inlineStr">
        <is>
          <t>Stocked</t>
        </is>
      </c>
      <c r="M195" s="6" t="inlineStr">
        <is>
          <t>RSTI-CC-5847</t>
        </is>
      </c>
      <c r="N195" s="7" t="n"/>
      <c r="O195" s="8" t="inlineStr">
        <is>
          <t>Upon request</t>
        </is>
      </c>
      <c r="P195" s="8">
        <f>IF(ISNUMBER(O195),O195*(1-N195),O195)</f>
        <v/>
      </c>
      <c r="Q195" s="6" t="inlineStr">
        <is>
          <t>TE Raychem RSTI-CC</t>
        </is>
      </c>
      <c r="R195" s="6" t="inlineStr">
        <is>
          <t>Connects onto rear of RSTI-58 base connector for parallel / double cable termination; Core insulation dia: 21.2 - 34.6 mm; EPDM conductive screen; 800A continuous rating</t>
        </is>
      </c>
      <c r="S195" s="6" t="inlineStr">
        <is>
          <t>Aegis Plus Double Cable Terminations (with RSTI-58)</t>
        </is>
      </c>
      <c r="T195" s="5" t="inlineStr">
        <is>
          <t>3 pcs/set</t>
        </is>
      </c>
      <c r="U195" s="6" t="inlineStr">
        <is>
          <t>Enables double cable entry per phase in spacious Aegis cable compartment</t>
        </is>
      </c>
      <c r="V195" s="5" t="n">
        <v>32</v>
      </c>
    </row>
    <row r="196" ht="20" customHeight="1">
      <c r="A196" s="9" t="n">
        <v>192</v>
      </c>
      <c r="B196" s="10" t="inlineStr">
        <is>
          <t>TE Raychem</t>
        </is>
      </c>
      <c r="C196" s="10" t="inlineStr">
        <is>
          <t>Cable Bushings &amp; Connectors</t>
        </is>
      </c>
      <c r="D196" s="10" t="inlineStr">
        <is>
          <t>TE Raychem RSTI-CC-58 Screened Coupling Connector 800A with DIN Al Compression Lug (240 mm²)</t>
        </is>
      </c>
      <c r="E196" s="10" t="inlineStr">
        <is>
          <t>RSTI-CC-58 (240 mm² Al)</t>
        </is>
      </c>
      <c r="F196" s="10" t="inlineStr">
        <is>
          <t>Cross Section: 240 mm²</t>
        </is>
      </c>
      <c r="G196" s="10" t="inlineStr">
        <is>
          <t>Current: 800A</t>
        </is>
      </c>
      <c r="H196" s="10" t="inlineStr">
        <is>
          <t>Voltage: Up to 24kV</t>
        </is>
      </c>
      <c r="I196" s="10" t="inlineStr">
        <is>
          <t>Conductor: Aluminum (Al)</t>
        </is>
      </c>
      <c r="J196" s="10" t="inlineStr">
        <is>
          <t>Application: Double Cable Coupling</t>
        </is>
      </c>
      <c r="K196" s="10" t="inlineStr">
        <is>
          <t>Coupling Connector</t>
        </is>
      </c>
      <c r="L196" s="10" t="inlineStr">
        <is>
          <t>Stocked</t>
        </is>
      </c>
      <c r="M196" s="10" t="inlineStr">
        <is>
          <t>RSTI-CC-5828</t>
        </is>
      </c>
      <c r="N196" s="11" t="n"/>
      <c r="O196" s="12" t="inlineStr">
        <is>
          <t>Upon request</t>
        </is>
      </c>
      <c r="P196" s="12">
        <f>IF(ISNUMBER(O196),O196*(1-N196),O196)</f>
        <v/>
      </c>
      <c r="Q196" s="10" t="inlineStr">
        <is>
          <t>TE Raychem RSTI-CC</t>
        </is>
      </c>
      <c r="R196" s="10" t="inlineStr">
        <is>
          <t>Connects onto rear of RSTI-58 base connector for parallel / double cable termination; Core insulation dia: 21.2 - 34.6 mm; EPDM conductive screen; 800A continuous rating</t>
        </is>
      </c>
      <c r="S196" s="10" t="inlineStr">
        <is>
          <t>Aegis Plus Double Cable Terminations (with RSTI-58)</t>
        </is>
      </c>
      <c r="T196" s="9" t="inlineStr">
        <is>
          <t>3 pcs/set</t>
        </is>
      </c>
      <c r="U196" s="10" t="inlineStr">
        <is>
          <t>Enables double cable entry per phase in spacious Aegis cable compartment</t>
        </is>
      </c>
      <c r="V196" s="9" t="n">
        <v>32</v>
      </c>
    </row>
    <row r="197" ht="20" customHeight="1">
      <c r="A197" s="5" t="n">
        <v>193</v>
      </c>
      <c r="B197" s="6" t="inlineStr">
        <is>
          <t>TE Raychem</t>
        </is>
      </c>
      <c r="C197" s="6" t="inlineStr">
        <is>
          <t>Cable Bushings &amp; Connectors</t>
        </is>
      </c>
      <c r="D197" s="6" t="inlineStr">
        <is>
          <t>TE Raychem RSTI-CC-58 Screened Coupling Connector 800A with DIN Cu Compression Lug (240 mm²)</t>
        </is>
      </c>
      <c r="E197" s="6" t="inlineStr">
        <is>
          <t>RSTI-CC-58 (240 mm² Cu)</t>
        </is>
      </c>
      <c r="F197" s="6" t="inlineStr">
        <is>
          <t>Cross Section: 240 mm²</t>
        </is>
      </c>
      <c r="G197" s="6" t="inlineStr">
        <is>
          <t>Current: 800A</t>
        </is>
      </c>
      <c r="H197" s="6" t="inlineStr">
        <is>
          <t>Voltage: Up to 24kV</t>
        </is>
      </c>
      <c r="I197" s="6" t="inlineStr">
        <is>
          <t>Conductor: Copper (Cu)</t>
        </is>
      </c>
      <c r="J197" s="6" t="inlineStr">
        <is>
          <t>Application: Double Cable Coupling</t>
        </is>
      </c>
      <c r="K197" s="6" t="inlineStr">
        <is>
          <t>Coupling Connector</t>
        </is>
      </c>
      <c r="L197" s="6" t="inlineStr">
        <is>
          <t>Stocked</t>
        </is>
      </c>
      <c r="M197" s="6" t="inlineStr">
        <is>
          <t>RSTI-CC-5848</t>
        </is>
      </c>
      <c r="N197" s="7" t="n"/>
      <c r="O197" s="8" t="inlineStr">
        <is>
          <t>Upon request</t>
        </is>
      </c>
      <c r="P197" s="8">
        <f>IF(ISNUMBER(O197),O197*(1-N197),O197)</f>
        <v/>
      </c>
      <c r="Q197" s="6" t="inlineStr">
        <is>
          <t>TE Raychem RSTI-CC</t>
        </is>
      </c>
      <c r="R197" s="6" t="inlineStr">
        <is>
          <t>Connects onto rear of RSTI-58 base connector for parallel / double cable termination; Core insulation dia: 21.2 - 34.6 mm; EPDM conductive screen; 800A continuous rating</t>
        </is>
      </c>
      <c r="S197" s="6" t="inlineStr">
        <is>
          <t>Aegis Plus Double Cable Terminations (with RSTI-58)</t>
        </is>
      </c>
      <c r="T197" s="5" t="inlineStr">
        <is>
          <t>3 pcs/set</t>
        </is>
      </c>
      <c r="U197" s="6" t="inlineStr">
        <is>
          <t>Enables double cable entry per phase in spacious Aegis cable compartment</t>
        </is>
      </c>
      <c r="V197" s="5" t="n">
        <v>32</v>
      </c>
    </row>
    <row r="198" ht="20" customHeight="1">
      <c r="A198" s="9" t="n">
        <v>194</v>
      </c>
      <c r="B198" s="10" t="inlineStr">
        <is>
          <t>TE Raychem</t>
        </is>
      </c>
      <c r="C198" s="10" t="inlineStr">
        <is>
          <t>Cable Bushings &amp; Connectors</t>
        </is>
      </c>
      <c r="D198" s="10" t="inlineStr">
        <is>
          <t>TE Raychem RSTI-CC-58 Screened Coupling Connector 800A with DIN Al Compression Lug (300 mm²)</t>
        </is>
      </c>
      <c r="E198" s="10" t="inlineStr">
        <is>
          <t>RSTI-CC-58 (300 mm² Al)</t>
        </is>
      </c>
      <c r="F198" s="10" t="inlineStr">
        <is>
          <t>Cross Section: 300 mm²</t>
        </is>
      </c>
      <c r="G198" s="10" t="inlineStr">
        <is>
          <t>Current: 800A</t>
        </is>
      </c>
      <c r="H198" s="10" t="inlineStr">
        <is>
          <t>Voltage: Up to 24kV</t>
        </is>
      </c>
      <c r="I198" s="10" t="inlineStr">
        <is>
          <t>Conductor: Aluminum (Al)</t>
        </is>
      </c>
      <c r="J198" s="10" t="inlineStr">
        <is>
          <t>Application: Double Cable Coupling</t>
        </is>
      </c>
      <c r="K198" s="10" t="inlineStr">
        <is>
          <t>Coupling Connector</t>
        </is>
      </c>
      <c r="L198" s="10" t="inlineStr">
        <is>
          <t>Stocked</t>
        </is>
      </c>
      <c r="M198" s="10" t="inlineStr">
        <is>
          <t>RSTI-CC-5829</t>
        </is>
      </c>
      <c r="N198" s="11" t="n"/>
      <c r="O198" s="12" t="inlineStr">
        <is>
          <t>Upon request</t>
        </is>
      </c>
      <c r="P198" s="12">
        <f>IF(ISNUMBER(O198),O198*(1-N198),O198)</f>
        <v/>
      </c>
      <c r="Q198" s="10" t="inlineStr">
        <is>
          <t>TE Raychem RSTI-CC</t>
        </is>
      </c>
      <c r="R198" s="10" t="inlineStr">
        <is>
          <t>Connects onto rear of RSTI-58 base connector for parallel / double cable termination; Core insulation dia: 21.2 - 34.6 mm; EPDM conductive screen; 800A continuous rating</t>
        </is>
      </c>
      <c r="S198" s="10" t="inlineStr">
        <is>
          <t>Aegis Plus Double Cable Terminations (with RSTI-58)</t>
        </is>
      </c>
      <c r="T198" s="9" t="inlineStr">
        <is>
          <t>3 pcs/set</t>
        </is>
      </c>
      <c r="U198" s="10" t="inlineStr">
        <is>
          <t>Enables double cable entry per phase in spacious Aegis cable compartment</t>
        </is>
      </c>
      <c r="V198" s="9" t="n">
        <v>32</v>
      </c>
    </row>
    <row r="199" ht="20" customHeight="1">
      <c r="A199" s="5" t="n">
        <v>195</v>
      </c>
      <c r="B199" s="6" t="inlineStr">
        <is>
          <t>TE Raychem</t>
        </is>
      </c>
      <c r="C199" s="6" t="inlineStr">
        <is>
          <t>Cable Bushings &amp; Connectors</t>
        </is>
      </c>
      <c r="D199" s="6" t="inlineStr">
        <is>
          <t>TE Raychem RSTI-CC-58 Screened Coupling Connector 800A with DIN Cu Compression Lug (300 mm²)</t>
        </is>
      </c>
      <c r="E199" s="6" t="inlineStr">
        <is>
          <t>RSTI-CC-58 (300 mm² Cu)</t>
        </is>
      </c>
      <c r="F199" s="6" t="inlineStr">
        <is>
          <t>Cross Section: 300 mm²</t>
        </is>
      </c>
      <c r="G199" s="6" t="inlineStr">
        <is>
          <t>Current: 800A</t>
        </is>
      </c>
      <c r="H199" s="6" t="inlineStr">
        <is>
          <t>Voltage: Up to 24kV</t>
        </is>
      </c>
      <c r="I199" s="6" t="inlineStr">
        <is>
          <t>Conductor: Copper (Cu)</t>
        </is>
      </c>
      <c r="J199" s="6" t="inlineStr">
        <is>
          <t>Application: Double Cable Coupling</t>
        </is>
      </c>
      <c r="K199" s="6" t="inlineStr">
        <is>
          <t>Coupling Connector</t>
        </is>
      </c>
      <c r="L199" s="6" t="inlineStr">
        <is>
          <t>Stocked</t>
        </is>
      </c>
      <c r="M199" s="6" t="inlineStr">
        <is>
          <t>RSTI-CC-5849</t>
        </is>
      </c>
      <c r="N199" s="7" t="n"/>
      <c r="O199" s="8" t="inlineStr">
        <is>
          <t>Upon request</t>
        </is>
      </c>
      <c r="P199" s="8">
        <f>IF(ISNUMBER(O199),O199*(1-N199),O199)</f>
        <v/>
      </c>
      <c r="Q199" s="6" t="inlineStr">
        <is>
          <t>TE Raychem RSTI-CC</t>
        </is>
      </c>
      <c r="R199" s="6" t="inlineStr">
        <is>
          <t>Connects onto rear of RSTI-58 base connector for parallel / double cable termination; Core insulation dia: 21.2 - 34.6 mm; EPDM conductive screen; 800A continuous rating</t>
        </is>
      </c>
      <c r="S199" s="6" t="inlineStr">
        <is>
          <t>Aegis Plus Double Cable Terminations (with RSTI-58)</t>
        </is>
      </c>
      <c r="T199" s="5" t="inlineStr">
        <is>
          <t>3 pcs/set</t>
        </is>
      </c>
      <c r="U199" s="6" t="inlineStr">
        <is>
          <t>Enables double cable entry per phase in spacious Aegis cable compartment</t>
        </is>
      </c>
      <c r="V199" s="5" t="n">
        <v>32</v>
      </c>
    </row>
    <row r="200" ht="20" customHeight="1">
      <c r="A200" s="9" t="n">
        <v>196</v>
      </c>
      <c r="B200" s="10" t="inlineStr">
        <is>
          <t>TE Raychem</t>
        </is>
      </c>
      <c r="C200" s="10" t="inlineStr">
        <is>
          <t>Cable Bushings &amp; Connectors</t>
        </is>
      </c>
      <c r="D200" s="10" t="inlineStr">
        <is>
          <t>TE Raychem RSTI-CC-58 Coupling Connector with Mechanical Shear Bolt Lug (35 - 95 mm² (12kV) / 35 - 70 mm² (24kV))</t>
        </is>
      </c>
      <c r="E200" s="10" t="inlineStr">
        <is>
          <t>RSTI-CC-58 Mech (35 - 95 mm² (12kV) / 35 - 70 mm² (24kV))</t>
        </is>
      </c>
      <c r="F200" s="10" t="inlineStr">
        <is>
          <t>Application Range: 35 - 95 mm² (12kV) / 35 - 70 mm² (24kV)</t>
        </is>
      </c>
      <c r="G200" s="10" t="inlineStr">
        <is>
          <t>Current: 800A</t>
        </is>
      </c>
      <c r="H200" s="10" t="inlineStr">
        <is>
          <t>Voltage: Up to 24kV</t>
        </is>
      </c>
      <c r="I200" s="10" t="inlineStr">
        <is>
          <t>Conductor: Al or Cu Universal</t>
        </is>
      </c>
      <c r="J200" s="10" t="inlineStr">
        <is>
          <t>Lug Type: Mechanical Shear Bolt</t>
        </is>
      </c>
      <c r="K200" s="10" t="inlineStr">
        <is>
          <t>Coupling Connector</t>
        </is>
      </c>
      <c r="L200" s="10" t="inlineStr">
        <is>
          <t>Stocked</t>
        </is>
      </c>
      <c r="M200" s="10" t="inlineStr">
        <is>
          <t>RSTI-CC-5851</t>
        </is>
      </c>
      <c r="N200" s="11" t="n"/>
      <c r="O200" s="12" t="inlineStr">
        <is>
          <t>Upon request</t>
        </is>
      </c>
      <c r="P200" s="12">
        <f>IF(ISNUMBER(O200),O200*(1-N200),O200)</f>
        <v/>
      </c>
      <c r="Q200" s="10" t="inlineStr">
        <is>
          <t>TE Raychem RSTI-CC</t>
        </is>
      </c>
      <c r="R200" s="10" t="inlineStr">
        <is>
          <t>Core insulation diameter: 12.7 - 23.4 mm; Mechanical shear-bolt connector for Al and Cu conductors; No crimping tool needed; 800A rating</t>
        </is>
      </c>
      <c r="S200" s="10" t="inlineStr">
        <is>
          <t>Aegis Plus Double Cable Terminations (with RSTI-58)</t>
        </is>
      </c>
      <c r="T200" s="9" t="inlineStr">
        <is>
          <t>3 pcs/set</t>
        </is>
      </c>
      <c r="U200" s="10" t="inlineStr">
        <is>
          <t>Parallel coupling connector for 2nd cable per phase</t>
        </is>
      </c>
      <c r="V200" s="9" t="n">
        <v>32</v>
      </c>
    </row>
    <row r="201" ht="20" customHeight="1">
      <c r="A201" s="5" t="n">
        <v>197</v>
      </c>
      <c r="B201" s="6" t="inlineStr">
        <is>
          <t>TE Raychem</t>
        </is>
      </c>
      <c r="C201" s="6" t="inlineStr">
        <is>
          <t>Cable Bushings &amp; Connectors</t>
        </is>
      </c>
      <c r="D201" s="6" t="inlineStr">
        <is>
          <t>TE Raychem RSTI-CC-58 Coupling Connector with Mechanical Shear Bolt Lug (95 - 120 mm² (12kV))</t>
        </is>
      </c>
      <c r="E201" s="6" t="inlineStr">
        <is>
          <t>RSTI-CC-58 Mech (95 - 120 mm² (12kV))</t>
        </is>
      </c>
      <c r="F201" s="6" t="inlineStr">
        <is>
          <t>Application Range: 95 - 120 mm² (12kV)</t>
        </is>
      </c>
      <c r="G201" s="6" t="inlineStr">
        <is>
          <t>Current: 800A</t>
        </is>
      </c>
      <c r="H201" s="6" t="inlineStr">
        <is>
          <t>Voltage: Up to 24kV</t>
        </is>
      </c>
      <c r="I201" s="6" t="inlineStr">
        <is>
          <t>Conductor: Al or Cu Universal</t>
        </is>
      </c>
      <c r="J201" s="6" t="inlineStr">
        <is>
          <t>Lug Type: Mechanical Shear Bolt</t>
        </is>
      </c>
      <c r="K201" s="6" t="inlineStr">
        <is>
          <t>Coupling Connector</t>
        </is>
      </c>
      <c r="L201" s="6" t="inlineStr">
        <is>
          <t>Stocked</t>
        </is>
      </c>
      <c r="M201" s="6" t="inlineStr">
        <is>
          <t>RSTI-CC-5852</t>
        </is>
      </c>
      <c r="N201" s="7" t="n"/>
      <c r="O201" s="8" t="inlineStr">
        <is>
          <t>Upon request</t>
        </is>
      </c>
      <c r="P201" s="8">
        <f>IF(ISNUMBER(O201),O201*(1-N201),O201)</f>
        <v/>
      </c>
      <c r="Q201" s="6" t="inlineStr">
        <is>
          <t>TE Raychem RSTI-CC</t>
        </is>
      </c>
      <c r="R201" s="6" t="inlineStr">
        <is>
          <t>Core insulation diameter: 12.7 - 23.4 mm; Mechanical shear-bolt connector for Al and Cu conductors; No crimping tool needed; 800A rating</t>
        </is>
      </c>
      <c r="S201" s="6" t="inlineStr">
        <is>
          <t>Aegis Plus Double Cable Terminations (with RSTI-58)</t>
        </is>
      </c>
      <c r="T201" s="5" t="inlineStr">
        <is>
          <t>3 pcs/set</t>
        </is>
      </c>
      <c r="U201" s="6" t="inlineStr">
        <is>
          <t>Parallel coupling connector for 2nd cable per phase</t>
        </is>
      </c>
      <c r="V201" s="5" t="n">
        <v>32</v>
      </c>
    </row>
    <row r="202" ht="20" customHeight="1">
      <c r="A202" s="9" t="n">
        <v>198</v>
      </c>
      <c r="B202" s="10" t="inlineStr">
        <is>
          <t>TE Raychem</t>
        </is>
      </c>
      <c r="C202" s="10" t="inlineStr">
        <is>
          <t>Cable Bushings &amp; Connectors</t>
        </is>
      </c>
      <c r="D202" s="10" t="inlineStr">
        <is>
          <t>TE Raychem RSTI-CC-58 Coupling Connector with Mechanical Shear Bolt Lug (95 - 240 mm² (12kV) / 95 - 185 mm² (24kV))</t>
        </is>
      </c>
      <c r="E202" s="10" t="inlineStr">
        <is>
          <t>RSTI-CC-58 Mech (95 - 240 mm² (12kV) / 95 - 185 mm² (24kV))</t>
        </is>
      </c>
      <c r="F202" s="10" t="inlineStr">
        <is>
          <t>Application Range: 95 - 240 mm² (12kV) / 95 - 185 mm² (24kV)</t>
        </is>
      </c>
      <c r="G202" s="10" t="inlineStr">
        <is>
          <t>Current: 800A</t>
        </is>
      </c>
      <c r="H202" s="10" t="inlineStr">
        <is>
          <t>Voltage: Up to 24kV</t>
        </is>
      </c>
      <c r="I202" s="10" t="inlineStr">
        <is>
          <t>Conductor: Al or Cu Universal</t>
        </is>
      </c>
      <c r="J202" s="10" t="inlineStr">
        <is>
          <t>Lug Type: Mechanical Shear Bolt</t>
        </is>
      </c>
      <c r="K202" s="10" t="inlineStr">
        <is>
          <t>Coupling Connector</t>
        </is>
      </c>
      <c r="L202" s="10" t="inlineStr">
        <is>
          <t>Stocked</t>
        </is>
      </c>
      <c r="M202" s="10" t="inlineStr">
        <is>
          <t>RSTI-CC-5853</t>
        </is>
      </c>
      <c r="N202" s="11" t="n"/>
      <c r="O202" s="12" t="inlineStr">
        <is>
          <t>Upon request</t>
        </is>
      </c>
      <c r="P202" s="12">
        <f>IF(ISNUMBER(O202),O202*(1-N202),O202)</f>
        <v/>
      </c>
      <c r="Q202" s="10" t="inlineStr">
        <is>
          <t>TE Raychem RSTI-CC</t>
        </is>
      </c>
      <c r="R202" s="10" t="inlineStr">
        <is>
          <t>Core insulation diameter: 17.0 - 30.1 mm; Mechanical shear-bolt connector for Al and Cu conductors; No crimping tool needed; 800A rating</t>
        </is>
      </c>
      <c r="S202" s="10" t="inlineStr">
        <is>
          <t>Aegis Plus Double Cable Terminations (with RSTI-58)</t>
        </is>
      </c>
      <c r="T202" s="9" t="inlineStr">
        <is>
          <t>3 pcs/set</t>
        </is>
      </c>
      <c r="U202" s="10" t="inlineStr">
        <is>
          <t>Parallel coupling connector for 2nd cable per phase</t>
        </is>
      </c>
      <c r="V202" s="9" t="n">
        <v>32</v>
      </c>
    </row>
    <row r="203" ht="20" customHeight="1">
      <c r="A203" s="5" t="n">
        <v>199</v>
      </c>
      <c r="B203" s="6" t="inlineStr">
        <is>
          <t>TE Raychem</t>
        </is>
      </c>
      <c r="C203" s="6" t="inlineStr">
        <is>
          <t>Cable Bushings &amp; Connectors</t>
        </is>
      </c>
      <c r="D203" s="6" t="inlineStr">
        <is>
          <t>TE Raychem RSTI-CC-58 Coupling Connector with Mechanical Shear Bolt Lug (150 - 240 mm² (12kV) / 95 - 240 mm² (24kV))</t>
        </is>
      </c>
      <c r="E203" s="6" t="inlineStr">
        <is>
          <t>RSTI-CC-58 Mech (150 - 240 mm² (12kV) / 95 - 240 mm² (24kV))</t>
        </is>
      </c>
      <c r="F203" s="6" t="inlineStr">
        <is>
          <t>Application Range: 150 - 240 mm² (12kV) / 95 - 240 mm² (24kV)</t>
        </is>
      </c>
      <c r="G203" s="6" t="inlineStr">
        <is>
          <t>Current: 800A</t>
        </is>
      </c>
      <c r="H203" s="6" t="inlineStr">
        <is>
          <t>Voltage: Up to 24kV</t>
        </is>
      </c>
      <c r="I203" s="6" t="inlineStr">
        <is>
          <t>Conductor: Al or Cu Universal</t>
        </is>
      </c>
      <c r="J203" s="6" t="inlineStr">
        <is>
          <t>Lug Type: Mechanical Shear Bolt</t>
        </is>
      </c>
      <c r="K203" s="6" t="inlineStr">
        <is>
          <t>Coupling Connector</t>
        </is>
      </c>
      <c r="L203" s="6" t="inlineStr">
        <is>
          <t>Stocked</t>
        </is>
      </c>
      <c r="M203" s="6" t="inlineStr">
        <is>
          <t>RSTI-CC-5854</t>
        </is>
      </c>
      <c r="N203" s="7" t="n"/>
      <c r="O203" s="8" t="inlineStr">
        <is>
          <t>Upon request</t>
        </is>
      </c>
      <c r="P203" s="8">
        <f>IF(ISNUMBER(O203),O203*(1-N203),O203)</f>
        <v/>
      </c>
      <c r="Q203" s="6" t="inlineStr">
        <is>
          <t>TE Raychem RSTI-CC</t>
        </is>
      </c>
      <c r="R203" s="6" t="inlineStr">
        <is>
          <t>Core insulation diameter: 21.2 - 34.6 mm; Mechanical shear-bolt connector for Al and Cu conductors; No crimping tool needed; 800A rating</t>
        </is>
      </c>
      <c r="S203" s="6" t="inlineStr">
        <is>
          <t>Aegis Plus Double Cable Terminations (with RSTI-58)</t>
        </is>
      </c>
      <c r="T203" s="5" t="inlineStr">
        <is>
          <t>3 pcs/set</t>
        </is>
      </c>
      <c r="U203" s="6" t="inlineStr">
        <is>
          <t>Parallel coupling connector for 2nd cable per phase</t>
        </is>
      </c>
      <c r="V203" s="5" t="n">
        <v>32</v>
      </c>
    </row>
    <row r="204" ht="20" customHeight="1">
      <c r="A204" s="9" t="n">
        <v>200</v>
      </c>
      <c r="B204" s="10" t="inlineStr">
        <is>
          <t>TE Raychem</t>
        </is>
      </c>
      <c r="C204" s="10" t="inlineStr">
        <is>
          <t>Cable Bushings &amp; Connectors</t>
        </is>
      </c>
      <c r="D204" s="10" t="inlineStr">
        <is>
          <t>TE Raychem RSTI-CC-58 Coupling Connector with Mechanical Shear Bolt Lug (185 - 300 mm² (12kV &amp; 24kV))</t>
        </is>
      </c>
      <c r="E204" s="10" t="inlineStr">
        <is>
          <t>RSTI-CC-58 Mech (185 - 300 mm² (12kV &amp; 24kV))</t>
        </is>
      </c>
      <c r="F204" s="10" t="inlineStr">
        <is>
          <t>Application Range: 185 - 300 mm² (12kV &amp; 24kV)</t>
        </is>
      </c>
      <c r="G204" s="10" t="inlineStr">
        <is>
          <t>Current: 800A</t>
        </is>
      </c>
      <c r="H204" s="10" t="inlineStr">
        <is>
          <t>Voltage: Up to 24kV</t>
        </is>
      </c>
      <c r="I204" s="10" t="inlineStr">
        <is>
          <t>Conductor: Al or Cu Universal</t>
        </is>
      </c>
      <c r="J204" s="10" t="inlineStr">
        <is>
          <t>Lug Type: Mechanical Shear Bolt</t>
        </is>
      </c>
      <c r="K204" s="10" t="inlineStr">
        <is>
          <t>Coupling Connector</t>
        </is>
      </c>
      <c r="L204" s="10" t="inlineStr">
        <is>
          <t>Stocked</t>
        </is>
      </c>
      <c r="M204" s="10" t="inlineStr">
        <is>
          <t>RSTI-CC-5855</t>
        </is>
      </c>
      <c r="N204" s="11" t="n"/>
      <c r="O204" s="12" t="inlineStr">
        <is>
          <t>Upon request</t>
        </is>
      </c>
      <c r="P204" s="12">
        <f>IF(ISNUMBER(O204),O204*(1-N204),O204)</f>
        <v/>
      </c>
      <c r="Q204" s="10" t="inlineStr">
        <is>
          <t>TE Raychem RSTI-CC</t>
        </is>
      </c>
      <c r="R204" s="10" t="inlineStr">
        <is>
          <t>Core insulation diameter: 21.2 - 34.6 mm; Mechanical shear-bolt connector for Al and Cu conductors; No crimping tool needed; 800A rating</t>
        </is>
      </c>
      <c r="S204" s="10" t="inlineStr">
        <is>
          <t>Aegis Plus Double Cable Terminations (with RSTI-58)</t>
        </is>
      </c>
      <c r="T204" s="9" t="inlineStr">
        <is>
          <t>3 pcs/set</t>
        </is>
      </c>
      <c r="U204" s="10" t="inlineStr">
        <is>
          <t>Parallel coupling connector for 2nd cable per phase</t>
        </is>
      </c>
      <c r="V204" s="9" t="n">
        <v>32</v>
      </c>
    </row>
    <row r="205" ht="20" customHeight="1">
      <c r="A205" s="5" t="n">
        <v>201</v>
      </c>
      <c r="B205" s="6" t="inlineStr">
        <is>
          <t>TE Raychem</t>
        </is>
      </c>
      <c r="C205" s="6" t="inlineStr">
        <is>
          <t>Cable Bushings &amp; Connectors</t>
        </is>
      </c>
      <c r="D205" s="6" t="inlineStr">
        <is>
          <t>TE Raychem RSTI-CC-58 Coupling Connector with Mechanical Shear Bolt Lug (240 - 400 mm² (12kV))</t>
        </is>
      </c>
      <c r="E205" s="6" t="inlineStr">
        <is>
          <t>RSTI-CC-58 Mech (240 - 400 mm² (12kV))</t>
        </is>
      </c>
      <c r="F205" s="6" t="inlineStr">
        <is>
          <t>Application Range: 240 - 400 mm² (12kV)</t>
        </is>
      </c>
      <c r="G205" s="6" t="inlineStr">
        <is>
          <t>Current: 800A</t>
        </is>
      </c>
      <c r="H205" s="6" t="inlineStr">
        <is>
          <t>Voltage: Up to 24kV</t>
        </is>
      </c>
      <c r="I205" s="6" t="inlineStr">
        <is>
          <t>Conductor: Al or Cu Universal</t>
        </is>
      </c>
      <c r="J205" s="6" t="inlineStr">
        <is>
          <t>Lug Type: Mechanical Shear Bolt</t>
        </is>
      </c>
      <c r="K205" s="6" t="inlineStr">
        <is>
          <t>Coupling Connector</t>
        </is>
      </c>
      <c r="L205" s="6" t="inlineStr">
        <is>
          <t>Stocked</t>
        </is>
      </c>
      <c r="M205" s="6" t="inlineStr">
        <is>
          <t>RSTI-CC-5856</t>
        </is>
      </c>
      <c r="N205" s="7" t="n"/>
      <c r="O205" s="8" t="inlineStr">
        <is>
          <t>Upon request</t>
        </is>
      </c>
      <c r="P205" s="8">
        <f>IF(ISNUMBER(O205),O205*(1-N205),O205)</f>
        <v/>
      </c>
      <c r="Q205" s="6" t="inlineStr">
        <is>
          <t>TE Raychem RSTI-CC</t>
        </is>
      </c>
      <c r="R205" s="6" t="inlineStr">
        <is>
          <t>Core insulation diameter: 21.2 - 34.6 mm; Mechanical shear-bolt connector for Al and Cu conductors; No crimping tool needed; 800A rating</t>
        </is>
      </c>
      <c r="S205" s="6" t="inlineStr">
        <is>
          <t>Aegis Plus Double Cable Terminations (with RSTI-58)</t>
        </is>
      </c>
      <c r="T205" s="5" t="inlineStr">
        <is>
          <t>3 pcs/set</t>
        </is>
      </c>
      <c r="U205" s="6" t="inlineStr">
        <is>
          <t>Parallel coupling connector for 2nd cable per phase</t>
        </is>
      </c>
      <c r="V205" s="5" t="n">
        <v>32</v>
      </c>
    </row>
    <row r="206" ht="20" customHeight="1">
      <c r="A206" s="9" t="n">
        <v>202</v>
      </c>
      <c r="B206" s="10" t="inlineStr">
        <is>
          <t>TE Raychem</t>
        </is>
      </c>
      <c r="C206" s="10" t="inlineStr">
        <is>
          <t>Cable Bushing Boots</t>
        </is>
      </c>
      <c r="D206" s="10" t="inlineStr">
        <is>
          <t>TE Raychem RCAB Elastomeric Insulating Bushing Boot (Bushing Dia 31-45mm)</t>
        </is>
      </c>
      <c r="E206" s="10" t="inlineStr">
        <is>
          <t>TE Raychem RCAB 4110</t>
        </is>
      </c>
      <c r="F206" s="10" t="inlineStr">
        <is>
          <t>Bushing Dia: 31-45mm</t>
        </is>
      </c>
      <c r="G206" s="10" t="inlineStr">
        <is>
          <t>Cable: 35-400 mm²</t>
        </is>
      </c>
      <c r="H206" s="10" t="inlineStr">
        <is>
          <t>Voltage: 17.5kV</t>
        </is>
      </c>
      <c r="I206" s="10" t="inlineStr">
        <is>
          <t>BIL: 95kV</t>
        </is>
      </c>
      <c r="J206" s="10" t="inlineStr">
        <is>
          <t>Collar Size: No.1</t>
        </is>
      </c>
      <c r="K206" s="10" t="inlineStr">
        <is>
          <t>Bushing Boot</t>
        </is>
      </c>
      <c r="L206" s="10" t="inlineStr">
        <is>
          <t>Stocked</t>
        </is>
      </c>
      <c r="M206" s="10" t="inlineStr">
        <is>
          <t>RCAB 4110</t>
        </is>
      </c>
      <c r="N206" s="11" t="n"/>
      <c r="O206" s="12" t="inlineStr">
        <is>
          <t>Upon request</t>
        </is>
      </c>
      <c r="P206" s="12">
        <f>IF(ISNUMBER(O206),O206*(1-N206),O206)</f>
        <v/>
      </c>
      <c r="Q206" s="10" t="inlineStr">
        <is>
          <t>TE Raychem Boot Series</t>
        </is>
      </c>
      <c r="R206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06" s="10" t="inlineStr">
        <is>
          <t>Aegis Plus Cable Bushings &amp; Terminations</t>
        </is>
      </c>
      <c r="T206" s="9" t="inlineStr">
        <is>
          <t>3 pcs/set</t>
        </is>
      </c>
      <c r="U206" s="10" t="inlineStr">
        <is>
          <t>Provides insulating barrier between bushings and cable lugs</t>
        </is>
      </c>
      <c r="V206" s="9" t="n">
        <v>33</v>
      </c>
    </row>
    <row r="207" ht="20" customHeight="1">
      <c r="A207" s="5" t="n">
        <v>203</v>
      </c>
      <c r="B207" s="6" t="inlineStr">
        <is>
          <t>TE Raychem</t>
        </is>
      </c>
      <c r="C207" s="6" t="inlineStr">
        <is>
          <t>Cable Bushing Boots</t>
        </is>
      </c>
      <c r="D207" s="6" t="inlineStr">
        <is>
          <t>TE Raychem RCAB Elastomeric Insulating Bushing Boot (Bushing Dia 46-70mm)</t>
        </is>
      </c>
      <c r="E207" s="6" t="inlineStr">
        <is>
          <t>TE Raychem RCAB 4120</t>
        </is>
      </c>
      <c r="F207" s="6" t="inlineStr">
        <is>
          <t>Bushing Dia: 46-70mm</t>
        </is>
      </c>
      <c r="G207" s="6" t="inlineStr">
        <is>
          <t>Cable: 35-400 mm²</t>
        </is>
      </c>
      <c r="H207" s="6" t="inlineStr">
        <is>
          <t>Voltage: 17.5kV</t>
        </is>
      </c>
      <c r="I207" s="6" t="inlineStr">
        <is>
          <t>BIL: 95kV</t>
        </is>
      </c>
      <c r="J207" s="6" t="inlineStr">
        <is>
          <t>Rating: 400/630A</t>
        </is>
      </c>
      <c r="K207" s="6" t="inlineStr">
        <is>
          <t>Bushing Boot</t>
        </is>
      </c>
      <c r="L207" s="6" t="inlineStr">
        <is>
          <t>Stocked</t>
        </is>
      </c>
      <c r="M207" s="6" t="inlineStr">
        <is>
          <t>RCAB 4120</t>
        </is>
      </c>
      <c r="N207" s="7" t="n"/>
      <c r="O207" s="8" t="inlineStr">
        <is>
          <t>Upon request</t>
        </is>
      </c>
      <c r="P207" s="8">
        <f>IF(ISNUMBER(O207),O207*(1-N207),O207)</f>
        <v/>
      </c>
      <c r="Q207" s="6" t="inlineStr">
        <is>
          <t>TE Raychem Boot Series</t>
        </is>
      </c>
      <c r="R207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07" s="6" t="inlineStr">
        <is>
          <t>Aegis Plus Cable Bushings &amp; Terminations</t>
        </is>
      </c>
      <c r="T207" s="5" t="inlineStr">
        <is>
          <t>3 pcs/set</t>
        </is>
      </c>
      <c r="U207" s="6" t="inlineStr">
        <is>
          <t>Provides insulating barrier between bushings and cable lugs</t>
        </is>
      </c>
      <c r="V207" s="5" t="n">
        <v>33</v>
      </c>
    </row>
    <row r="208" ht="20" customHeight="1">
      <c r="A208" s="9" t="n">
        <v>204</v>
      </c>
      <c r="B208" s="10" t="inlineStr">
        <is>
          <t>TE Raychem</t>
        </is>
      </c>
      <c r="C208" s="10" t="inlineStr">
        <is>
          <t>Cable Bushing Boots</t>
        </is>
      </c>
      <c r="D208" s="10" t="inlineStr">
        <is>
          <t>TE Raychem RSRB Heat Shrink Insulating Bushing Boot Right Angle Long (10-35 mm²)</t>
        </is>
      </c>
      <c r="E208" s="10" t="inlineStr">
        <is>
          <t>TE Raychem RSRB-4042</t>
        </is>
      </c>
      <c r="F208" s="10" t="inlineStr">
        <is>
          <t>Cable: 10-35 mm²</t>
        </is>
      </c>
      <c r="G208" s="10" t="inlineStr">
        <is>
          <t>Voltage: Up to 17.5kV</t>
        </is>
      </c>
      <c r="H208" s="10" t="inlineStr">
        <is>
          <t>Profile: Right Angle Long</t>
        </is>
      </c>
      <c r="I208" s="10" t="inlineStr">
        <is>
          <t>Heat Shrink Polyolefin</t>
        </is>
      </c>
      <c r="J208" s="10" t="inlineStr">
        <is>
          <t>Moisture Proof</t>
        </is>
      </c>
      <c r="K208" s="10" t="inlineStr">
        <is>
          <t>Bushing Boot</t>
        </is>
      </c>
      <c r="L208" s="10" t="inlineStr">
        <is>
          <t>Stocked</t>
        </is>
      </c>
      <c r="M208" s="10" t="inlineStr">
        <is>
          <t>RSRB-4042</t>
        </is>
      </c>
      <c r="N208" s="11" t="n"/>
      <c r="O208" s="12" t="inlineStr">
        <is>
          <t>Upon request</t>
        </is>
      </c>
      <c r="P208" s="12">
        <f>IF(ISNUMBER(O208),O208*(1-N208),O208)</f>
        <v/>
      </c>
      <c r="Q208" s="10" t="inlineStr">
        <is>
          <t>TE Raychem Boot Series</t>
        </is>
      </c>
      <c r="R208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08" s="10" t="inlineStr">
        <is>
          <t>Aegis Plus Cable Bushings &amp; Terminations</t>
        </is>
      </c>
      <c r="T208" s="9" t="inlineStr">
        <is>
          <t>3 pcs/set</t>
        </is>
      </c>
      <c r="U208" s="10" t="inlineStr">
        <is>
          <t>Provides insulating barrier between bushings and cable lugs</t>
        </is>
      </c>
      <c r="V208" s="9" t="n">
        <v>33</v>
      </c>
    </row>
    <row r="209" ht="20" customHeight="1">
      <c r="A209" s="5" t="n">
        <v>205</v>
      </c>
      <c r="B209" s="6" t="inlineStr">
        <is>
          <t>TE Raychem</t>
        </is>
      </c>
      <c r="C209" s="6" t="inlineStr">
        <is>
          <t>Cable Bushing Boots</t>
        </is>
      </c>
      <c r="D209" s="6" t="inlineStr">
        <is>
          <t>TE Raychem RSRB Heat Shrink Insulating Bushing Boot Right Angle Long (50-95 mm²)</t>
        </is>
      </c>
      <c r="E209" s="6" t="inlineStr">
        <is>
          <t>TE Raychem RSRB-4044</t>
        </is>
      </c>
      <c r="F209" s="6" t="inlineStr">
        <is>
          <t>Cable: 50-95 mm²</t>
        </is>
      </c>
      <c r="G209" s="6" t="inlineStr">
        <is>
          <t>Voltage: Up to 17.5kV</t>
        </is>
      </c>
      <c r="H209" s="6" t="inlineStr">
        <is>
          <t>Profile: Right Angle Long</t>
        </is>
      </c>
      <c r="I209" s="6" t="inlineStr">
        <is>
          <t>Heat Shrink Polyolefin</t>
        </is>
      </c>
      <c r="J209" s="6" t="inlineStr">
        <is>
          <t>Moisture Proof</t>
        </is>
      </c>
      <c r="K209" s="6" t="inlineStr">
        <is>
          <t>Bushing Boot</t>
        </is>
      </c>
      <c r="L209" s="6" t="inlineStr">
        <is>
          <t>Stocked</t>
        </is>
      </c>
      <c r="M209" s="6" t="inlineStr">
        <is>
          <t>RSRB-4044</t>
        </is>
      </c>
      <c r="N209" s="7" t="n"/>
      <c r="O209" s="8" t="inlineStr">
        <is>
          <t>Upon request</t>
        </is>
      </c>
      <c r="P209" s="8">
        <f>IF(ISNUMBER(O209),O209*(1-N209),O209)</f>
        <v/>
      </c>
      <c r="Q209" s="6" t="inlineStr">
        <is>
          <t>TE Raychem Boot Series</t>
        </is>
      </c>
      <c r="R209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09" s="6" t="inlineStr">
        <is>
          <t>Aegis Plus Cable Bushings &amp; Terminations</t>
        </is>
      </c>
      <c r="T209" s="5" t="inlineStr">
        <is>
          <t>3 pcs/set</t>
        </is>
      </c>
      <c r="U209" s="6" t="inlineStr">
        <is>
          <t>Provides insulating barrier between bushings and cable lugs</t>
        </is>
      </c>
      <c r="V209" s="5" t="n">
        <v>33</v>
      </c>
    </row>
    <row r="210" ht="20" customHeight="1">
      <c r="A210" s="9" t="n">
        <v>206</v>
      </c>
      <c r="B210" s="10" t="inlineStr">
        <is>
          <t>TE Raychem</t>
        </is>
      </c>
      <c r="C210" s="10" t="inlineStr">
        <is>
          <t>Cable Bushing Boots</t>
        </is>
      </c>
      <c r="D210" s="10" t="inlineStr">
        <is>
          <t>TE Raychem RSRB Heat Shrink Insulating Bushing Boot Right Angle Long (120-300 mm²)</t>
        </is>
      </c>
      <c r="E210" s="10" t="inlineStr">
        <is>
          <t>TE Raychem RSRB-4046</t>
        </is>
      </c>
      <c r="F210" s="10" t="inlineStr">
        <is>
          <t>Cable: 120-300 mm²</t>
        </is>
      </c>
      <c r="G210" s="10" t="inlineStr">
        <is>
          <t>Voltage: Up to 17.5kV</t>
        </is>
      </c>
      <c r="H210" s="10" t="inlineStr">
        <is>
          <t>Profile: Right Angle Long</t>
        </is>
      </c>
      <c r="I210" s="10" t="inlineStr">
        <is>
          <t>Heat Shrink Polyolefin</t>
        </is>
      </c>
      <c r="J210" s="10" t="inlineStr">
        <is>
          <t>Moisture Proof</t>
        </is>
      </c>
      <c r="K210" s="10" t="inlineStr">
        <is>
          <t>Bushing Boot</t>
        </is>
      </c>
      <c r="L210" s="10" t="inlineStr">
        <is>
          <t>Stocked</t>
        </is>
      </c>
      <c r="M210" s="10" t="inlineStr">
        <is>
          <t>RSRB-4046</t>
        </is>
      </c>
      <c r="N210" s="11" t="n"/>
      <c r="O210" s="12" t="inlineStr">
        <is>
          <t>Upon request</t>
        </is>
      </c>
      <c r="P210" s="12">
        <f>IF(ISNUMBER(O210),O210*(1-N210),O210)</f>
        <v/>
      </c>
      <c r="Q210" s="10" t="inlineStr">
        <is>
          <t>TE Raychem Boot Series</t>
        </is>
      </c>
      <c r="R210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10" s="10" t="inlineStr">
        <is>
          <t>Aegis Plus Cable Bushings &amp; Terminations</t>
        </is>
      </c>
      <c r="T210" s="9" t="inlineStr">
        <is>
          <t>3 pcs/set</t>
        </is>
      </c>
      <c r="U210" s="10" t="inlineStr">
        <is>
          <t>Provides insulating barrier between bushings and cable lugs</t>
        </is>
      </c>
      <c r="V210" s="9" t="n">
        <v>33</v>
      </c>
    </row>
    <row r="211" ht="20" customHeight="1">
      <c r="A211" s="5" t="n">
        <v>207</v>
      </c>
      <c r="B211" s="6" t="inlineStr">
        <is>
          <t>TE Raychem</t>
        </is>
      </c>
      <c r="C211" s="6" t="inlineStr">
        <is>
          <t>Cable Bushing Boots</t>
        </is>
      </c>
      <c r="D211" s="6" t="inlineStr">
        <is>
          <t>TE Raychem RSRB Heat Shrink Insulating Bushing Boot Right Angle Short (10-35 mm²)</t>
        </is>
      </c>
      <c r="E211" s="6" t="inlineStr">
        <is>
          <t>TE Raychem RSRB-4062</t>
        </is>
      </c>
      <c r="F211" s="6" t="inlineStr">
        <is>
          <t>Cable: 10-35 mm²</t>
        </is>
      </c>
      <c r="G211" s="6" t="inlineStr">
        <is>
          <t>Voltage: Up to 17.5kV</t>
        </is>
      </c>
      <c r="H211" s="6" t="inlineStr">
        <is>
          <t>Profile: Right Angle Short</t>
        </is>
      </c>
      <c r="I211" s="6" t="inlineStr">
        <is>
          <t>Heat Shrink Polyolefin</t>
        </is>
      </c>
      <c r="J211" s="6" t="inlineStr">
        <is>
          <t>Compact Profile</t>
        </is>
      </c>
      <c r="K211" s="6" t="inlineStr">
        <is>
          <t>Bushing Boot</t>
        </is>
      </c>
      <c r="L211" s="6" t="inlineStr">
        <is>
          <t>Stocked</t>
        </is>
      </c>
      <c r="M211" s="6" t="inlineStr">
        <is>
          <t>RSRB-4062</t>
        </is>
      </c>
      <c r="N211" s="7" t="n"/>
      <c r="O211" s="8" t="inlineStr">
        <is>
          <t>Upon request</t>
        </is>
      </c>
      <c r="P211" s="8">
        <f>IF(ISNUMBER(O211),O211*(1-N211),O211)</f>
        <v/>
      </c>
      <c r="Q211" s="6" t="inlineStr">
        <is>
          <t>TE Raychem Boot Series</t>
        </is>
      </c>
      <c r="R211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11" s="6" t="inlineStr">
        <is>
          <t>Aegis Plus Cable Bushings &amp; Terminations</t>
        </is>
      </c>
      <c r="T211" s="5" t="inlineStr">
        <is>
          <t>3 pcs/set</t>
        </is>
      </c>
      <c r="U211" s="6" t="inlineStr">
        <is>
          <t>Provides insulating barrier between bushings and cable lugs</t>
        </is>
      </c>
      <c r="V211" s="5" t="n">
        <v>33</v>
      </c>
    </row>
    <row r="212" ht="20" customHeight="1">
      <c r="A212" s="9" t="n">
        <v>208</v>
      </c>
      <c r="B212" s="10" t="inlineStr">
        <is>
          <t>TE Raychem</t>
        </is>
      </c>
      <c r="C212" s="10" t="inlineStr">
        <is>
          <t>Cable Bushing Boots</t>
        </is>
      </c>
      <c r="D212" s="10" t="inlineStr">
        <is>
          <t>TE Raychem RSRB Heat Shrink Insulating Bushing Boot Right Angle Short (50-95 mm²)</t>
        </is>
      </c>
      <c r="E212" s="10" t="inlineStr">
        <is>
          <t>TE Raychem RSRB-4064</t>
        </is>
      </c>
      <c r="F212" s="10" t="inlineStr">
        <is>
          <t>Cable: 50-95 mm²</t>
        </is>
      </c>
      <c r="G212" s="10" t="inlineStr">
        <is>
          <t>Voltage: Up to 17.5kV</t>
        </is>
      </c>
      <c r="H212" s="10" t="inlineStr">
        <is>
          <t>Profile: Right Angle Short</t>
        </is>
      </c>
      <c r="I212" s="10" t="inlineStr">
        <is>
          <t>Heat Shrink Polyolefin</t>
        </is>
      </c>
      <c r="J212" s="10" t="inlineStr">
        <is>
          <t>Compact Profile</t>
        </is>
      </c>
      <c r="K212" s="10" t="inlineStr">
        <is>
          <t>Bushing Boot</t>
        </is>
      </c>
      <c r="L212" s="10" t="inlineStr">
        <is>
          <t>Stocked</t>
        </is>
      </c>
      <c r="M212" s="10" t="inlineStr">
        <is>
          <t>RSRB-4064</t>
        </is>
      </c>
      <c r="N212" s="11" t="n"/>
      <c r="O212" s="12" t="inlineStr">
        <is>
          <t>Upon request</t>
        </is>
      </c>
      <c r="P212" s="12">
        <f>IF(ISNUMBER(O212),O212*(1-N212),O212)</f>
        <v/>
      </c>
      <c r="Q212" s="10" t="inlineStr">
        <is>
          <t>TE Raychem Boot Series</t>
        </is>
      </c>
      <c r="R212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12" s="10" t="inlineStr">
        <is>
          <t>Aegis Plus Cable Bushings &amp; Terminations</t>
        </is>
      </c>
      <c r="T212" s="9" t="inlineStr">
        <is>
          <t>3 pcs/set</t>
        </is>
      </c>
      <c r="U212" s="10" t="inlineStr">
        <is>
          <t>Provides insulating barrier between bushings and cable lugs</t>
        </is>
      </c>
      <c r="V212" s="9" t="n">
        <v>33</v>
      </c>
    </row>
    <row r="213" ht="20" customHeight="1">
      <c r="A213" s="5" t="n">
        <v>209</v>
      </c>
      <c r="B213" s="6" t="inlineStr">
        <is>
          <t>TE Raychem</t>
        </is>
      </c>
      <c r="C213" s="6" t="inlineStr">
        <is>
          <t>Cable Bushing Boots</t>
        </is>
      </c>
      <c r="D213" s="6" t="inlineStr">
        <is>
          <t>TE Raychem RSRB Heat Shrink Insulating Bushing Boot Right Angle Short (120-300 mm²)</t>
        </is>
      </c>
      <c r="E213" s="6" t="inlineStr">
        <is>
          <t>TE Raychem RSRB-4066</t>
        </is>
      </c>
      <c r="F213" s="6" t="inlineStr">
        <is>
          <t>Cable: 120-300 mm²</t>
        </is>
      </c>
      <c r="G213" s="6" t="inlineStr">
        <is>
          <t>Voltage: Up to 17.5kV</t>
        </is>
      </c>
      <c r="H213" s="6" t="inlineStr">
        <is>
          <t>Profile: Right Angle Short</t>
        </is>
      </c>
      <c r="I213" s="6" t="inlineStr">
        <is>
          <t>Heat Shrink Polyolefin</t>
        </is>
      </c>
      <c r="J213" s="6" t="inlineStr">
        <is>
          <t>Compact Profile</t>
        </is>
      </c>
      <c r="K213" s="6" t="inlineStr">
        <is>
          <t>Bushing Boot</t>
        </is>
      </c>
      <c r="L213" s="6" t="inlineStr">
        <is>
          <t>Stocked</t>
        </is>
      </c>
      <c r="M213" s="6" t="inlineStr">
        <is>
          <t>RSRB-4066</t>
        </is>
      </c>
      <c r="N213" s="7" t="n"/>
      <c r="O213" s="8" t="inlineStr">
        <is>
          <t>Upon request</t>
        </is>
      </c>
      <c r="P213" s="8">
        <f>IF(ISNUMBER(O213),O213*(1-N213),O213)</f>
        <v/>
      </c>
      <c r="Q213" s="6" t="inlineStr">
        <is>
          <t>TE Raychem Boot Series</t>
        </is>
      </c>
      <c r="R213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S213" s="6" t="inlineStr">
        <is>
          <t>Aegis Plus Cable Bushings &amp; Terminations</t>
        </is>
      </c>
      <c r="T213" s="5" t="inlineStr">
        <is>
          <t>3 pcs/set</t>
        </is>
      </c>
      <c r="U213" s="6" t="inlineStr">
        <is>
          <t>Provides insulating barrier between bushings and cable lugs</t>
        </is>
      </c>
      <c r="V213" s="5" t="n">
        <v>33</v>
      </c>
    </row>
    <row r="214" ht="20" customHeight="1">
      <c r="A214" s="9" t="n">
        <v>210</v>
      </c>
      <c r="B214" s="10" t="inlineStr">
        <is>
          <t>TE Raychem</t>
        </is>
      </c>
      <c r="C214" s="10" t="inlineStr">
        <is>
          <t>Surge Arresters</t>
        </is>
      </c>
      <c r="D214" s="10" t="inlineStr">
        <is>
          <t>TE Raychem Screened Separable Surge Arrester 6.0kV 5kA (Single Connection)</t>
        </is>
      </c>
      <c r="E214" s="10" t="inlineStr">
        <is>
          <t>Surge Arrester 6.0kV</t>
        </is>
      </c>
      <c r="F214" s="10" t="inlineStr">
        <is>
          <t>Voltage Class: 6.0kV</t>
        </is>
      </c>
      <c r="G214" s="10" t="inlineStr">
        <is>
          <t>Rated Voltage Ur: 7.5kV</t>
        </is>
      </c>
      <c r="H214" s="10" t="inlineStr">
        <is>
          <t>Discharge Current In: 5kA</t>
        </is>
      </c>
      <c r="I214" s="10" t="inlineStr">
        <is>
          <t>Connection: Single Connection</t>
        </is>
      </c>
      <c r="J214" s="10" t="inlineStr">
        <is>
          <t>Length: 285.0mm</t>
        </is>
      </c>
      <c r="K214" s="10" t="inlineStr">
        <is>
          <t>Surge Arrester</t>
        </is>
      </c>
      <c r="L214" s="10" t="inlineStr">
        <is>
          <t>Stocked</t>
        </is>
      </c>
      <c r="M214" s="10" t="inlineStr">
        <is>
          <t>RSTI-58A0605</t>
        </is>
      </c>
      <c r="N214" s="11" t="n"/>
      <c r="O214" s="12" t="inlineStr">
        <is>
          <t>Upon request</t>
        </is>
      </c>
      <c r="P214" s="12">
        <f>IF(ISNUMBER(O214),O214*(1-N214),O214)</f>
        <v/>
      </c>
      <c r="Q214" s="10" t="inlineStr">
        <is>
          <t>TE Raychem RSTI-SA</t>
        </is>
      </c>
      <c r="R214" s="10" t="inlineStr">
        <is>
          <t>Operating duty high current impulse 4/10 µs: 65kA; Short circuit current: 16kA; Long duration impulse (1ms): 75A; Weight: 2.4 kg/pc; Direct connection onto DIN Type C bushings</t>
        </is>
      </c>
      <c r="S214" s="10" t="inlineStr">
        <is>
          <t>Aegis Plus DIN 400 Type C Bushings</t>
        </is>
      </c>
      <c r="T214" s="9" t="inlineStr">
        <is>
          <t>3 pcs/set</t>
        </is>
      </c>
      <c r="U214" s="10" t="inlineStr">
        <is>
          <t>Overvoltage protection against lightning and switching surges in MV cable networks</t>
        </is>
      </c>
      <c r="V214" s="9" t="n">
        <v>34</v>
      </c>
    </row>
    <row r="215" ht="20" customHeight="1">
      <c r="A215" s="5" t="n">
        <v>211</v>
      </c>
      <c r="B215" s="6" t="inlineStr">
        <is>
          <t>TE Raychem</t>
        </is>
      </c>
      <c r="C215" s="6" t="inlineStr">
        <is>
          <t>Surge Arresters</t>
        </is>
      </c>
      <c r="D215" s="6" t="inlineStr">
        <is>
          <t>TE Raychem Screened Separable Surge Arrester 12.0kV 5kA (Single Connection)</t>
        </is>
      </c>
      <c r="E215" s="6" t="inlineStr">
        <is>
          <t>Surge Arrester 12.0kV</t>
        </is>
      </c>
      <c r="F215" s="6" t="inlineStr">
        <is>
          <t>Voltage Class: 12.0kV</t>
        </is>
      </c>
      <c r="G215" s="6" t="inlineStr">
        <is>
          <t>Rated Voltage Ur: 15.0kV</t>
        </is>
      </c>
      <c r="H215" s="6" t="inlineStr">
        <is>
          <t>Discharge Current In: 5kA</t>
        </is>
      </c>
      <c r="I215" s="6" t="inlineStr">
        <is>
          <t>Connection: Single Connection</t>
        </is>
      </c>
      <c r="J215" s="6" t="inlineStr">
        <is>
          <t>Length: 285.0mm</t>
        </is>
      </c>
      <c r="K215" s="6" t="inlineStr">
        <is>
          <t>Surge Arrester</t>
        </is>
      </c>
      <c r="L215" s="6" t="inlineStr">
        <is>
          <t>Stocked</t>
        </is>
      </c>
      <c r="M215" s="6" t="inlineStr">
        <is>
          <t>RSTI-58SA1205</t>
        </is>
      </c>
      <c r="N215" s="7" t="n"/>
      <c r="O215" s="8" t="inlineStr">
        <is>
          <t>Upon request</t>
        </is>
      </c>
      <c r="P215" s="8">
        <f>IF(ISNUMBER(O215),O215*(1-N215),O215)</f>
        <v/>
      </c>
      <c r="Q215" s="6" t="inlineStr">
        <is>
          <t>TE Raychem RSTI-SA</t>
        </is>
      </c>
      <c r="R215" s="6" t="inlineStr">
        <is>
          <t>Operating duty high current impulse 4/10 µs: 65kA; Short circuit current: 16kA; Long duration impulse (1ms): 75A; Weight: 2.7 kg/pc; Direct connection onto DIN Type C bushings</t>
        </is>
      </c>
      <c r="S215" s="6" t="inlineStr">
        <is>
          <t>Aegis Plus DIN 400 Type C Bushings</t>
        </is>
      </c>
      <c r="T215" s="5" t="inlineStr">
        <is>
          <t>3 pcs/set</t>
        </is>
      </c>
      <c r="U215" s="6" t="inlineStr">
        <is>
          <t>Overvoltage protection against lightning and switching surges in MV cable networks</t>
        </is>
      </c>
      <c r="V215" s="5" t="n">
        <v>34</v>
      </c>
    </row>
    <row r="216" ht="20" customHeight="1">
      <c r="A216" s="9" t="n">
        <v>212</v>
      </c>
      <c r="B216" s="10" t="inlineStr">
        <is>
          <t>TE Raychem</t>
        </is>
      </c>
      <c r="C216" s="10" t="inlineStr">
        <is>
          <t>Surge Arresters</t>
        </is>
      </c>
      <c r="D216" s="10" t="inlineStr">
        <is>
          <t>TE Raychem Screened Separable Surge Arrester 18.0kV 5kA (Single Connection)</t>
        </is>
      </c>
      <c r="E216" s="10" t="inlineStr">
        <is>
          <t>Surge Arrester 18.0kV</t>
        </is>
      </c>
      <c r="F216" s="10" t="inlineStr">
        <is>
          <t>Voltage Class: 18.0kV</t>
        </is>
      </c>
      <c r="G216" s="10" t="inlineStr">
        <is>
          <t>Rated Voltage Ur: 22.5kV</t>
        </is>
      </c>
      <c r="H216" s="10" t="inlineStr">
        <is>
          <t>Discharge Current In: 5kA</t>
        </is>
      </c>
      <c r="I216" s="10" t="inlineStr">
        <is>
          <t>Connection: Single Connection</t>
        </is>
      </c>
      <c r="J216" s="10" t="inlineStr">
        <is>
          <t>Length: 400.0mm</t>
        </is>
      </c>
      <c r="K216" s="10" t="inlineStr">
        <is>
          <t>Surge Arrester</t>
        </is>
      </c>
      <c r="L216" s="10" t="inlineStr">
        <is>
          <t>Stocked</t>
        </is>
      </c>
      <c r="M216" s="10" t="inlineStr">
        <is>
          <t>RSTI-58A1805</t>
        </is>
      </c>
      <c r="N216" s="11" t="n"/>
      <c r="O216" s="12" t="inlineStr">
        <is>
          <t>Upon request</t>
        </is>
      </c>
      <c r="P216" s="12">
        <f>IF(ISNUMBER(O216),O216*(1-N216),O216)</f>
        <v/>
      </c>
      <c r="Q216" s="10" t="inlineStr">
        <is>
          <t>TE Raychem RSTI-SA</t>
        </is>
      </c>
      <c r="R216" s="10" t="inlineStr">
        <is>
          <t>Operating duty high current impulse 4/10 µs: 65kA; Short circuit current: 16kA; Long duration impulse (1ms): 75A; Weight: 3.0 kg/pc; Direct connection onto DIN Type C bushings</t>
        </is>
      </c>
      <c r="S216" s="10" t="inlineStr">
        <is>
          <t>Aegis Plus DIN 400 Type C Bushings</t>
        </is>
      </c>
      <c r="T216" s="9" t="inlineStr">
        <is>
          <t>3 pcs/set</t>
        </is>
      </c>
      <c r="U216" s="10" t="inlineStr">
        <is>
          <t>Overvoltage protection against lightning and switching surges in MV cable networks</t>
        </is>
      </c>
      <c r="V216" s="9" t="n">
        <v>34</v>
      </c>
    </row>
    <row r="217" ht="20" customHeight="1">
      <c r="A217" s="5" t="n">
        <v>213</v>
      </c>
      <c r="B217" s="6" t="inlineStr">
        <is>
          <t>TE Raychem</t>
        </is>
      </c>
      <c r="C217" s="6" t="inlineStr">
        <is>
          <t>Surge Arresters</t>
        </is>
      </c>
      <c r="D217" s="6" t="inlineStr">
        <is>
          <t>TE Raychem Screened Separable Surge Arrester 24.0kV 5kA (Single Connection)</t>
        </is>
      </c>
      <c r="E217" s="6" t="inlineStr">
        <is>
          <t>Surge Arrester 24.0kV</t>
        </is>
      </c>
      <c r="F217" s="6" t="inlineStr">
        <is>
          <t>Voltage Class: 24.0kV</t>
        </is>
      </c>
      <c r="G217" s="6" t="inlineStr">
        <is>
          <t>Rated Voltage Ur: 30.0kV</t>
        </is>
      </c>
      <c r="H217" s="6" t="inlineStr">
        <is>
          <t>Discharge Current In: 5kA</t>
        </is>
      </c>
      <c r="I217" s="6" t="inlineStr">
        <is>
          <t>Connection: Single Connection</t>
        </is>
      </c>
      <c r="J217" s="6" t="inlineStr">
        <is>
          <t>Length: 400.0mm</t>
        </is>
      </c>
      <c r="K217" s="6" t="inlineStr">
        <is>
          <t>Surge Arrester</t>
        </is>
      </c>
      <c r="L217" s="6" t="inlineStr">
        <is>
          <t>Stocked</t>
        </is>
      </c>
      <c r="M217" s="6" t="inlineStr">
        <is>
          <t>RSTI-58SA2405</t>
        </is>
      </c>
      <c r="N217" s="7" t="n"/>
      <c r="O217" s="8" t="inlineStr">
        <is>
          <t>Upon request</t>
        </is>
      </c>
      <c r="P217" s="8">
        <f>IF(ISNUMBER(O217),O217*(1-N217),O217)</f>
        <v/>
      </c>
      <c r="Q217" s="6" t="inlineStr">
        <is>
          <t>TE Raychem RSTI-SA</t>
        </is>
      </c>
      <c r="R217" s="6" t="inlineStr">
        <is>
          <t>Operating duty high current impulse 4/10 µs: 65kA; Short circuit current: 16kA; Long duration impulse (1ms): 75A; Weight: 3.3 kg/pc; Direct connection onto DIN Type C bushings</t>
        </is>
      </c>
      <c r="S217" s="6" t="inlineStr">
        <is>
          <t>Aegis Plus DIN 400 Type C Bushings</t>
        </is>
      </c>
      <c r="T217" s="5" t="inlineStr">
        <is>
          <t>3 pcs/set</t>
        </is>
      </c>
      <c r="U217" s="6" t="inlineStr">
        <is>
          <t>Overvoltage protection against lightning and switching surges in MV cable networks</t>
        </is>
      </c>
      <c r="V217" s="5" t="n">
        <v>34</v>
      </c>
    </row>
    <row r="218" ht="20" customHeight="1">
      <c r="A218" s="9" t="n">
        <v>214</v>
      </c>
      <c r="B218" s="10" t="inlineStr">
        <is>
          <t>TE Raychem</t>
        </is>
      </c>
      <c r="C218" s="10" t="inlineStr">
        <is>
          <t>Surge Arresters</t>
        </is>
      </c>
      <c r="D218" s="10" t="inlineStr">
        <is>
          <t>TE Raychem Screened Separable Surge Arrester 6.0kV 5kA (Parallel Connection)</t>
        </is>
      </c>
      <c r="E218" s="10" t="inlineStr">
        <is>
          <t>Surge Arrester 6.0kV</t>
        </is>
      </c>
      <c r="F218" s="10" t="inlineStr">
        <is>
          <t>Voltage Class: 6.0kV</t>
        </is>
      </c>
      <c r="G218" s="10" t="inlineStr">
        <is>
          <t>Rated Voltage Ur: 7.5kV</t>
        </is>
      </c>
      <c r="H218" s="10" t="inlineStr">
        <is>
          <t>Discharge Current In: 5kA</t>
        </is>
      </c>
      <c r="I218" s="10" t="inlineStr">
        <is>
          <t>Connection: Parallel Coupling</t>
        </is>
      </c>
      <c r="J218" s="10" t="inlineStr">
        <is>
          <t>Length: 285.0mm</t>
        </is>
      </c>
      <c r="K218" s="10" t="inlineStr">
        <is>
          <t>Surge Arrester</t>
        </is>
      </c>
      <c r="L218" s="10" t="inlineStr">
        <is>
          <t>Stocked</t>
        </is>
      </c>
      <c r="M218" s="10" t="inlineStr">
        <is>
          <t>RSTI-CC-58SA0605</t>
        </is>
      </c>
      <c r="N218" s="11" t="n"/>
      <c r="O218" s="12" t="inlineStr">
        <is>
          <t>Upon request</t>
        </is>
      </c>
      <c r="P218" s="12">
        <f>IF(ISNUMBER(O218),O218*(1-N218),O218)</f>
        <v/>
      </c>
      <c r="Q218" s="10" t="inlineStr">
        <is>
          <t>TE Raychem RSTI-SA</t>
        </is>
      </c>
      <c r="R218" s="10" t="inlineStr">
        <is>
          <t>Operating duty high current impulse 4/10 µs: 65kA; Short circuit current: 16kA; Long duration impulse (1ms): 75A; Weight: 2.5 kg/pc; Direct connection onto DIN Type C bushings</t>
        </is>
      </c>
      <c r="S218" s="10" t="inlineStr">
        <is>
          <t>Aegis Plus DIN 400 Type C Bushings</t>
        </is>
      </c>
      <c r="T218" s="9" t="inlineStr">
        <is>
          <t>3 pcs/set</t>
        </is>
      </c>
      <c r="U218" s="10" t="inlineStr">
        <is>
          <t>Overvoltage protection against lightning and switching surges in MV cable networks</t>
        </is>
      </c>
      <c r="V218" s="9" t="n">
        <v>34</v>
      </c>
    </row>
    <row r="219" ht="20" customHeight="1">
      <c r="A219" s="5" t="n">
        <v>215</v>
      </c>
      <c r="B219" s="6" t="inlineStr">
        <is>
          <t>TE Raychem</t>
        </is>
      </c>
      <c r="C219" s="6" t="inlineStr">
        <is>
          <t>Surge Arresters</t>
        </is>
      </c>
      <c r="D219" s="6" t="inlineStr">
        <is>
          <t>TE Raychem Screened Separable Surge Arrester 12.0kV 5kA (Parallel Connection)</t>
        </is>
      </c>
      <c r="E219" s="6" t="inlineStr">
        <is>
          <t>Surge Arrester 12.0kV</t>
        </is>
      </c>
      <c r="F219" s="6" t="inlineStr">
        <is>
          <t>Voltage Class: 12.0kV</t>
        </is>
      </c>
      <c r="G219" s="6" t="inlineStr">
        <is>
          <t>Rated Voltage Ur: 15.0kV</t>
        </is>
      </c>
      <c r="H219" s="6" t="inlineStr">
        <is>
          <t>Discharge Current In: 5kA</t>
        </is>
      </c>
      <c r="I219" s="6" t="inlineStr">
        <is>
          <t>Connection: Parallel Coupling</t>
        </is>
      </c>
      <c r="J219" s="6" t="inlineStr">
        <is>
          <t>Length: 285.0mm</t>
        </is>
      </c>
      <c r="K219" s="6" t="inlineStr">
        <is>
          <t>Surge Arrester</t>
        </is>
      </c>
      <c r="L219" s="6" t="inlineStr">
        <is>
          <t>Stocked</t>
        </is>
      </c>
      <c r="M219" s="6" t="inlineStr">
        <is>
          <t>RSTI-CC-58SA1205</t>
        </is>
      </c>
      <c r="N219" s="7" t="n"/>
      <c r="O219" s="8" t="inlineStr">
        <is>
          <t>Upon request</t>
        </is>
      </c>
      <c r="P219" s="8">
        <f>IF(ISNUMBER(O219),O219*(1-N219),O219)</f>
        <v/>
      </c>
      <c r="Q219" s="6" t="inlineStr">
        <is>
          <t>TE Raychem RSTI-SA</t>
        </is>
      </c>
      <c r="R219" s="6" t="inlineStr">
        <is>
          <t>Operating duty high current impulse 4/10 µs: 65kA; Short circuit current: 16kA; Long duration impulse (1ms): 75A; Weight: 2.8 kg/pc; Direct connection onto DIN Type C bushings</t>
        </is>
      </c>
      <c r="S219" s="6" t="inlineStr">
        <is>
          <t>Aegis Plus DIN 400 Type C Bushings</t>
        </is>
      </c>
      <c r="T219" s="5" t="inlineStr">
        <is>
          <t>3 pcs/set</t>
        </is>
      </c>
      <c r="U219" s="6" t="inlineStr">
        <is>
          <t>Overvoltage protection against lightning and switching surges in MV cable networks</t>
        </is>
      </c>
      <c r="V219" s="5" t="n">
        <v>34</v>
      </c>
    </row>
    <row r="220" ht="20" customHeight="1">
      <c r="A220" s="9" t="n">
        <v>216</v>
      </c>
      <c r="B220" s="10" t="inlineStr">
        <is>
          <t>TE Raychem</t>
        </is>
      </c>
      <c r="C220" s="10" t="inlineStr">
        <is>
          <t>Surge Arresters</t>
        </is>
      </c>
      <c r="D220" s="10" t="inlineStr">
        <is>
          <t>TE Raychem Screened Separable Surge Arrester 18.0kV 5kA (Parallel Connection)</t>
        </is>
      </c>
      <c r="E220" s="10" t="inlineStr">
        <is>
          <t>Surge Arrester 18.0kV</t>
        </is>
      </c>
      <c r="F220" s="10" t="inlineStr">
        <is>
          <t>Voltage Class: 18.0kV</t>
        </is>
      </c>
      <c r="G220" s="10" t="inlineStr">
        <is>
          <t>Rated Voltage Ur: 22.5kV</t>
        </is>
      </c>
      <c r="H220" s="10" t="inlineStr">
        <is>
          <t>Discharge Current In: 5kA</t>
        </is>
      </c>
      <c r="I220" s="10" t="inlineStr">
        <is>
          <t>Connection: Parallel Coupling</t>
        </is>
      </c>
      <c r="J220" s="10" t="inlineStr">
        <is>
          <t>Length: 400.0mm</t>
        </is>
      </c>
      <c r="K220" s="10" t="inlineStr">
        <is>
          <t>Surge Arrester</t>
        </is>
      </c>
      <c r="L220" s="10" t="inlineStr">
        <is>
          <t>Stocked</t>
        </is>
      </c>
      <c r="M220" s="10" t="inlineStr">
        <is>
          <t>RSTI-CC-58A1805</t>
        </is>
      </c>
      <c r="N220" s="11" t="n"/>
      <c r="O220" s="12" t="inlineStr">
        <is>
          <t>Upon request</t>
        </is>
      </c>
      <c r="P220" s="12">
        <f>IF(ISNUMBER(O220),O220*(1-N220),O220)</f>
        <v/>
      </c>
      <c r="Q220" s="10" t="inlineStr">
        <is>
          <t>TE Raychem RSTI-SA</t>
        </is>
      </c>
      <c r="R220" s="10" t="inlineStr">
        <is>
          <t>Operating duty high current impulse 4/10 µs: 65kA; Short circuit current: 16kA; Long duration impulse (1ms): 75A; Weight: 3.1 kg/pc; Direct connection onto DIN Type C bushings</t>
        </is>
      </c>
      <c r="S220" s="10" t="inlineStr">
        <is>
          <t>Aegis Plus DIN 400 Type C Bushings</t>
        </is>
      </c>
      <c r="T220" s="9" t="inlineStr">
        <is>
          <t>3 pcs/set</t>
        </is>
      </c>
      <c r="U220" s="10" t="inlineStr">
        <is>
          <t>Overvoltage protection against lightning and switching surges in MV cable networks</t>
        </is>
      </c>
      <c r="V220" s="9" t="n">
        <v>34</v>
      </c>
    </row>
    <row r="221" ht="20" customHeight="1">
      <c r="A221" s="5" t="n">
        <v>217</v>
      </c>
      <c r="B221" s="6" t="inlineStr">
        <is>
          <t>TE Raychem</t>
        </is>
      </c>
      <c r="C221" s="6" t="inlineStr">
        <is>
          <t>Surge Arresters</t>
        </is>
      </c>
      <c r="D221" s="6" t="inlineStr">
        <is>
          <t>TE Raychem Screened Separable Surge Arrester 24.0kV 5kA (Parallel Connection)</t>
        </is>
      </c>
      <c r="E221" s="6" t="inlineStr">
        <is>
          <t>Surge Arrester 24.0kV</t>
        </is>
      </c>
      <c r="F221" s="6" t="inlineStr">
        <is>
          <t>Voltage Class: 24.0kV</t>
        </is>
      </c>
      <c r="G221" s="6" t="inlineStr">
        <is>
          <t>Rated Voltage Ur: 30.0kV</t>
        </is>
      </c>
      <c r="H221" s="6" t="inlineStr">
        <is>
          <t>Discharge Current In: 5kA</t>
        </is>
      </c>
      <c r="I221" s="6" t="inlineStr">
        <is>
          <t>Connection: Parallel Coupling</t>
        </is>
      </c>
      <c r="J221" s="6" t="inlineStr">
        <is>
          <t>Length: 400.0mm</t>
        </is>
      </c>
      <c r="K221" s="6" t="inlineStr">
        <is>
          <t>Surge Arrester</t>
        </is>
      </c>
      <c r="L221" s="6" t="inlineStr">
        <is>
          <t>Stocked</t>
        </is>
      </c>
      <c r="M221" s="6" t="inlineStr">
        <is>
          <t>RSTI-CC-58SA2405</t>
        </is>
      </c>
      <c r="N221" s="7" t="n"/>
      <c r="O221" s="8" t="inlineStr">
        <is>
          <t>Upon request</t>
        </is>
      </c>
      <c r="P221" s="8">
        <f>IF(ISNUMBER(O221),O221*(1-N221),O221)</f>
        <v/>
      </c>
      <c r="Q221" s="6" t="inlineStr">
        <is>
          <t>TE Raychem RSTI-SA</t>
        </is>
      </c>
      <c r="R221" s="6" t="inlineStr">
        <is>
          <t>Operating duty high current impulse 4/10 µs: 65kA; Short circuit current: 16kA; Long duration impulse (1ms): 75A; Weight: 3.4 kg/pc; Direct connection onto DIN Type C bushings</t>
        </is>
      </c>
      <c r="S221" s="6" t="inlineStr">
        <is>
          <t>Aegis Plus DIN 400 Type C Bushings</t>
        </is>
      </c>
      <c r="T221" s="5" t="inlineStr">
        <is>
          <t>3 pcs/set</t>
        </is>
      </c>
      <c r="U221" s="6" t="inlineStr">
        <is>
          <t>Overvoltage protection against lightning and switching surges in MV cable networks</t>
        </is>
      </c>
      <c r="V221" s="5" t="n">
        <v>34</v>
      </c>
    </row>
    <row r="222" ht="20" customHeight="1">
      <c r="A222" s="9" t="n">
        <v>218</v>
      </c>
      <c r="B222" s="10" t="inlineStr">
        <is>
          <t>Lucy Electric</t>
        </is>
      </c>
      <c r="C222" s="10" t="inlineStr">
        <is>
          <t>Actuators &amp; Shunt Trips</t>
        </is>
      </c>
      <c r="D222" s="10" t="inlineStr">
        <is>
          <t>Motor Actuator 24V DC for Remote Operation of Switches &amp; Breakers</t>
        </is>
      </c>
      <c r="E222" s="10" t="inlineStr">
        <is>
          <t>Lucy Electric ACT-24VDC</t>
        </is>
      </c>
      <c r="F222" s="10" t="inlineStr">
        <is>
          <t>Voltage: 24V DC</t>
        </is>
      </c>
      <c r="G222" s="10" t="inlineStr">
        <is>
          <t>Operation: Motorised</t>
        </is>
      </c>
      <c r="H222" s="10" t="inlineStr">
        <is>
          <t>Application: LBS &amp; VCB</t>
        </is>
      </c>
      <c r="I222" s="10" t="inlineStr">
        <is>
          <t>Control: RTU / Local</t>
        </is>
      </c>
      <c r="J222" s="10" t="inlineStr">
        <is>
          <t>Retrofit / Factory Fitted</t>
        </is>
      </c>
      <c r="K222" s="10" t="inlineStr">
        <is>
          <t>Mechanism Accessory</t>
        </is>
      </c>
      <c r="L222" s="10" t="inlineStr">
        <is>
          <t>Stocked</t>
        </is>
      </c>
      <c r="M222" s="10" t="inlineStr">
        <is>
          <t>ACT-24VDC</t>
        </is>
      </c>
      <c r="N222" s="11" t="n"/>
      <c r="O222" s="12" t="inlineStr">
        <is>
          <t>Upon request</t>
        </is>
      </c>
      <c r="P222" s="12">
        <f>IF(ISNUMBER(O222),O222*(1-N222),O222)</f>
        <v/>
      </c>
      <c r="Q222" s="10" t="inlineStr">
        <is>
          <t>Aegis Plus Auxiliaries</t>
        </is>
      </c>
      <c r="R222" s="10" t="inlineStr">
        <is>
          <t>Motor Actuator 24V DC for Remote Operation of Switches &amp; Breakers. Operating temperature: -30°C to +70°C; Padlock facility: 8.5mm hole; Fully interlocked with main mechanism</t>
        </is>
      </c>
      <c r="S222" s="10" t="inlineStr">
        <is>
          <t>Aegis Plus Switching and Breaker Modules</t>
        </is>
      </c>
      <c r="T222" s="9" t="n">
        <v>1</v>
      </c>
      <c r="U222" s="10" t="inlineStr">
        <is>
          <t>Enhances automation, safety, remote control and monitoring</t>
        </is>
      </c>
      <c r="V222" s="9" t="n">
        <v>29</v>
      </c>
    </row>
    <row r="223" ht="20" customHeight="1">
      <c r="A223" s="5" t="n">
        <v>219</v>
      </c>
      <c r="B223" s="6" t="inlineStr">
        <is>
          <t>Lucy Electric</t>
        </is>
      </c>
      <c r="C223" s="6" t="inlineStr">
        <is>
          <t>Actuators &amp; Shunt Trips</t>
        </is>
      </c>
      <c r="D223" s="6" t="inlineStr">
        <is>
          <t>Factory Pre-Wiring Harness for Future Motorisation Retrofit</t>
        </is>
      </c>
      <c r="E223" s="6" t="inlineStr">
        <is>
          <t>Lucy Electric ACT-WIRING</t>
        </is>
      </c>
      <c r="F223" s="6" t="inlineStr">
        <is>
          <t>Harness: Multi-core</t>
        </is>
      </c>
      <c r="G223" s="6" t="inlineStr">
        <is>
          <t>Function: Pre-Wired</t>
        </is>
      </c>
      <c r="H223" s="6" t="inlineStr">
        <is>
          <t>Location: Mechanism Housing</t>
        </is>
      </c>
      <c r="I223" s="6" t="inlineStr">
        <is>
          <t>Application: L, V, C</t>
        </is>
      </c>
      <c r="J223" s="6" t="inlineStr">
        <is>
          <t>Factory Fitted</t>
        </is>
      </c>
      <c r="K223" s="6" t="inlineStr">
        <is>
          <t>Mechanism Accessory</t>
        </is>
      </c>
      <c r="L223" s="6" t="inlineStr">
        <is>
          <t>Stocked</t>
        </is>
      </c>
      <c r="M223" s="6" t="inlineStr">
        <is>
          <t>ACT-WIRING</t>
        </is>
      </c>
      <c r="N223" s="7" t="n"/>
      <c r="O223" s="8" t="inlineStr">
        <is>
          <t>Upon request</t>
        </is>
      </c>
      <c r="P223" s="8">
        <f>IF(ISNUMBER(O223),O223*(1-N223),O223)</f>
        <v/>
      </c>
      <c r="Q223" s="6" t="inlineStr">
        <is>
          <t>Aegis Plus Auxiliaries</t>
        </is>
      </c>
      <c r="R223" s="6" t="inlineStr">
        <is>
          <t>Factory Pre-Wiring Harness for Future Motorisation Retrofit. Operating temperature: -30°C to +70°C; Padlock facility: 8.5mm hole; Fully interlocked with main mechanism</t>
        </is>
      </c>
      <c r="S223" s="6" t="inlineStr">
        <is>
          <t>Aegis Plus Switching and Breaker Modules</t>
        </is>
      </c>
      <c r="T223" s="5" t="n">
        <v>1</v>
      </c>
      <c r="U223" s="6" t="inlineStr">
        <is>
          <t>Enhances automation, safety, remote control and monitoring</t>
        </is>
      </c>
      <c r="V223" s="5" t="n">
        <v>15</v>
      </c>
    </row>
    <row r="224" ht="20" customHeight="1">
      <c r="A224" s="9" t="n">
        <v>220</v>
      </c>
      <c r="B224" s="10" t="inlineStr">
        <is>
          <t>Lucy Electric</t>
        </is>
      </c>
      <c r="C224" s="10" t="inlineStr">
        <is>
          <t>Actuators &amp; Shunt Trips</t>
        </is>
      </c>
      <c r="D224" s="10" t="inlineStr">
        <is>
          <t>Shunt Trip Coil 12V DC for Circuit Breaker Tripping</t>
        </is>
      </c>
      <c r="E224" s="10" t="inlineStr">
        <is>
          <t>Lucy Electric SHUNT-12VDC</t>
        </is>
      </c>
      <c r="F224" s="10" t="inlineStr">
        <is>
          <t>Voltage: 12V DC</t>
        </is>
      </c>
      <c r="G224" s="10" t="inlineStr">
        <is>
          <t>Type: Magnetic Coil</t>
        </is>
      </c>
      <c r="H224" s="10" t="inlineStr">
        <is>
          <t>Tripping: Breaker Trip</t>
        </is>
      </c>
      <c r="I224" s="10" t="inlineStr">
        <is>
          <t>Standard Response</t>
        </is>
      </c>
      <c r="J224" s="10" t="inlineStr">
        <is>
          <t>Internal Mount</t>
        </is>
      </c>
      <c r="K224" s="10" t="inlineStr">
        <is>
          <t>Mechanism Accessory</t>
        </is>
      </c>
      <c r="L224" s="10" t="inlineStr">
        <is>
          <t>Stocked</t>
        </is>
      </c>
      <c r="M224" s="10" t="inlineStr">
        <is>
          <t>SHUNT-12VDC</t>
        </is>
      </c>
      <c r="N224" s="11" t="n"/>
      <c r="O224" s="12" t="inlineStr">
        <is>
          <t>Upon request</t>
        </is>
      </c>
      <c r="P224" s="12">
        <f>IF(ISNUMBER(O224),O224*(1-N224),O224)</f>
        <v/>
      </c>
      <c r="Q224" s="10" t="inlineStr">
        <is>
          <t>Aegis Plus Auxiliaries</t>
        </is>
      </c>
      <c r="R224" s="10" t="inlineStr">
        <is>
          <t>Shunt Trip Coil 12V DC for Circuit Breaker Tripping. Operating temperature: -30°C to +70°C; Padlock facility: 8.5mm hole; Fully interlocked with main mechanism</t>
        </is>
      </c>
      <c r="S224" s="10" t="inlineStr">
        <is>
          <t>Aegis Plus Switching and Breaker Modules</t>
        </is>
      </c>
      <c r="T224" s="9" t="n">
        <v>1</v>
      </c>
      <c r="U224" s="10" t="inlineStr">
        <is>
          <t>Enhances automation, safety, remote control and monitoring</t>
        </is>
      </c>
      <c r="V224" s="9" t="n">
        <v>29</v>
      </c>
    </row>
    <row r="225" ht="20" customHeight="1">
      <c r="A225" s="5" t="n">
        <v>221</v>
      </c>
      <c r="B225" s="6" t="inlineStr">
        <is>
          <t>Lucy Electric</t>
        </is>
      </c>
      <c r="C225" s="6" t="inlineStr">
        <is>
          <t>Actuators &amp; Shunt Trips</t>
        </is>
      </c>
      <c r="D225" s="6" t="inlineStr">
        <is>
          <t>Shunt Trip Coil 24V DC for Circuit Breaker Tripping</t>
        </is>
      </c>
      <c r="E225" s="6" t="inlineStr">
        <is>
          <t>Lucy Electric SHUNT-24VDC</t>
        </is>
      </c>
      <c r="F225" s="6" t="inlineStr">
        <is>
          <t>Voltage: 24V DC</t>
        </is>
      </c>
      <c r="G225" s="6" t="inlineStr">
        <is>
          <t>Type: Magnetic Coil</t>
        </is>
      </c>
      <c r="H225" s="6" t="inlineStr">
        <is>
          <t>Tripping: Breaker Trip</t>
        </is>
      </c>
      <c r="I225" s="6" t="inlineStr">
        <is>
          <t>Standard Response</t>
        </is>
      </c>
      <c r="J225" s="6" t="inlineStr">
        <is>
          <t>Internal Mount</t>
        </is>
      </c>
      <c r="K225" s="6" t="inlineStr">
        <is>
          <t>Mechanism Accessory</t>
        </is>
      </c>
      <c r="L225" s="6" t="inlineStr">
        <is>
          <t>Stocked</t>
        </is>
      </c>
      <c r="M225" s="6" t="inlineStr">
        <is>
          <t>SHUNT-24VDC</t>
        </is>
      </c>
      <c r="N225" s="7" t="n"/>
      <c r="O225" s="8" t="inlineStr">
        <is>
          <t>Upon request</t>
        </is>
      </c>
      <c r="P225" s="8">
        <f>IF(ISNUMBER(O225),O225*(1-N225),O225)</f>
        <v/>
      </c>
      <c r="Q225" s="6" t="inlineStr">
        <is>
          <t>Aegis Plus Auxiliaries</t>
        </is>
      </c>
      <c r="R225" s="6" t="inlineStr">
        <is>
          <t>Shunt Trip Coil 24V DC for Circuit Breaker Tripping. Operating temperature: -30°C to +70°C; Padlock facility: 8.5mm hole; Fully interlocked with main mechanism</t>
        </is>
      </c>
      <c r="S225" s="6" t="inlineStr">
        <is>
          <t>Aegis Plus Switching and Breaker Modules</t>
        </is>
      </c>
      <c r="T225" s="5" t="n">
        <v>1</v>
      </c>
      <c r="U225" s="6" t="inlineStr">
        <is>
          <t>Enhances automation, safety, remote control and monitoring</t>
        </is>
      </c>
      <c r="V225" s="5" t="n">
        <v>29</v>
      </c>
    </row>
    <row r="226" ht="20" customHeight="1">
      <c r="A226" s="9" t="n">
        <v>222</v>
      </c>
      <c r="B226" s="10" t="inlineStr">
        <is>
          <t>Lucy Electric</t>
        </is>
      </c>
      <c r="C226" s="10" t="inlineStr">
        <is>
          <t>Actuators &amp; Shunt Trips</t>
        </is>
      </c>
      <c r="D226" s="10" t="inlineStr">
        <is>
          <t>Shunt Trip Coil 48V DC for Circuit Breaker Tripping</t>
        </is>
      </c>
      <c r="E226" s="10" t="inlineStr">
        <is>
          <t>Lucy Electric SHUNT-48VDC</t>
        </is>
      </c>
      <c r="F226" s="10" t="inlineStr">
        <is>
          <t>Voltage: 48V DC</t>
        </is>
      </c>
      <c r="G226" s="10" t="inlineStr">
        <is>
          <t>Type: Magnetic Coil</t>
        </is>
      </c>
      <c r="H226" s="10" t="inlineStr">
        <is>
          <t>Tripping: Breaker Trip</t>
        </is>
      </c>
      <c r="I226" s="10" t="inlineStr">
        <is>
          <t>Standard Response</t>
        </is>
      </c>
      <c r="J226" s="10" t="inlineStr">
        <is>
          <t>Internal Mount</t>
        </is>
      </c>
      <c r="K226" s="10" t="inlineStr">
        <is>
          <t>Mechanism Accessory</t>
        </is>
      </c>
      <c r="L226" s="10" t="inlineStr">
        <is>
          <t>Stocked</t>
        </is>
      </c>
      <c r="M226" s="10" t="inlineStr">
        <is>
          <t>SHUNT-48VDC</t>
        </is>
      </c>
      <c r="N226" s="11" t="n"/>
      <c r="O226" s="12" t="inlineStr">
        <is>
          <t>Upon request</t>
        </is>
      </c>
      <c r="P226" s="12">
        <f>IF(ISNUMBER(O226),O226*(1-N226),O226)</f>
        <v/>
      </c>
      <c r="Q226" s="10" t="inlineStr">
        <is>
          <t>Aegis Plus Auxiliaries</t>
        </is>
      </c>
      <c r="R226" s="10" t="inlineStr">
        <is>
          <t>Shunt Trip Coil 48V DC for Circuit Breaker Tripping. Operating temperature: -30°C to +70°C; Padlock facility: 8.5mm hole; Fully interlocked with main mechanism</t>
        </is>
      </c>
      <c r="S226" s="10" t="inlineStr">
        <is>
          <t>Aegis Plus Switching and Breaker Modules</t>
        </is>
      </c>
      <c r="T226" s="9" t="n">
        <v>1</v>
      </c>
      <c r="U226" s="10" t="inlineStr">
        <is>
          <t>Enhances automation, safety, remote control and monitoring</t>
        </is>
      </c>
      <c r="V226" s="9" t="n">
        <v>29</v>
      </c>
    </row>
    <row r="227" ht="20" customHeight="1">
      <c r="A227" s="5" t="n">
        <v>223</v>
      </c>
      <c r="B227" s="6" t="inlineStr">
        <is>
          <t>Lucy Electric</t>
        </is>
      </c>
      <c r="C227" s="6" t="inlineStr">
        <is>
          <t>Actuators &amp; Shunt Trips</t>
        </is>
      </c>
      <c r="D227" s="6" t="inlineStr">
        <is>
          <t>Shunt Trip Coil 110V DC for Circuit Breaker Tripping</t>
        </is>
      </c>
      <c r="E227" s="6" t="inlineStr">
        <is>
          <t>Lucy Electric SHUNT-110VDC</t>
        </is>
      </c>
      <c r="F227" s="6" t="inlineStr">
        <is>
          <t>Voltage: 110V DC</t>
        </is>
      </c>
      <c r="G227" s="6" t="inlineStr">
        <is>
          <t>Type: Magnetic Coil</t>
        </is>
      </c>
      <c r="H227" s="6" t="inlineStr">
        <is>
          <t>Tripping: Breaker Trip</t>
        </is>
      </c>
      <c r="I227" s="6" t="inlineStr">
        <is>
          <t>Standard Response</t>
        </is>
      </c>
      <c r="J227" s="6" t="inlineStr">
        <is>
          <t>Internal Mount</t>
        </is>
      </c>
      <c r="K227" s="6" t="inlineStr">
        <is>
          <t>Mechanism Accessory</t>
        </is>
      </c>
      <c r="L227" s="6" t="inlineStr">
        <is>
          <t>Stocked</t>
        </is>
      </c>
      <c r="M227" s="6" t="inlineStr">
        <is>
          <t>SHUNT-110VDC</t>
        </is>
      </c>
      <c r="N227" s="7" t="n"/>
      <c r="O227" s="8" t="inlineStr">
        <is>
          <t>Upon request</t>
        </is>
      </c>
      <c r="P227" s="8">
        <f>IF(ISNUMBER(O227),O227*(1-N227),O227)</f>
        <v/>
      </c>
      <c r="Q227" s="6" t="inlineStr">
        <is>
          <t>Aegis Plus Auxiliaries</t>
        </is>
      </c>
      <c r="R227" s="6" t="inlineStr">
        <is>
          <t>Shunt Trip Coil 110V DC for Circuit Breaker Tripping. Operating temperature: -30°C to +70°C; Padlock facility: 8.5mm hole; Fully interlocked with main mechanism</t>
        </is>
      </c>
      <c r="S227" s="6" t="inlineStr">
        <is>
          <t>Aegis Plus Switching and Breaker Modules</t>
        </is>
      </c>
      <c r="T227" s="5" t="n">
        <v>1</v>
      </c>
      <c r="U227" s="6" t="inlineStr">
        <is>
          <t>Enhances automation, safety, remote control and monitoring</t>
        </is>
      </c>
      <c r="V227" s="5" t="n">
        <v>29</v>
      </c>
    </row>
    <row r="228" ht="20" customHeight="1">
      <c r="A228" s="9" t="n">
        <v>224</v>
      </c>
      <c r="B228" s="10" t="inlineStr">
        <is>
          <t>Lucy Electric</t>
        </is>
      </c>
      <c r="C228" s="10" t="inlineStr">
        <is>
          <t>Actuators &amp; Shunt Trips</t>
        </is>
      </c>
      <c r="D228" s="10" t="inlineStr">
        <is>
          <t>Shunt Trip Coil 110V AC for Circuit Breaker Tripping</t>
        </is>
      </c>
      <c r="E228" s="10" t="inlineStr">
        <is>
          <t>Lucy Electric SHUNT-110VAC</t>
        </is>
      </c>
      <c r="F228" s="10" t="inlineStr">
        <is>
          <t>Voltage: 110V AC</t>
        </is>
      </c>
      <c r="G228" s="10" t="inlineStr">
        <is>
          <t>Type: Magnetic Coil</t>
        </is>
      </c>
      <c r="H228" s="10" t="inlineStr">
        <is>
          <t>Tripping: Breaker Trip</t>
        </is>
      </c>
      <c r="I228" s="10" t="inlineStr">
        <is>
          <t>Standard Response</t>
        </is>
      </c>
      <c r="J228" s="10" t="inlineStr">
        <is>
          <t>Internal Mount</t>
        </is>
      </c>
      <c r="K228" s="10" t="inlineStr">
        <is>
          <t>Mechanism Accessory</t>
        </is>
      </c>
      <c r="L228" s="10" t="inlineStr">
        <is>
          <t>Stocked</t>
        </is>
      </c>
      <c r="M228" s="10" t="inlineStr">
        <is>
          <t>SHUNT-110VAC</t>
        </is>
      </c>
      <c r="N228" s="11" t="n"/>
      <c r="O228" s="12" t="inlineStr">
        <is>
          <t>Upon request</t>
        </is>
      </c>
      <c r="P228" s="12">
        <f>IF(ISNUMBER(O228),O228*(1-N228),O228)</f>
        <v/>
      </c>
      <c r="Q228" s="10" t="inlineStr">
        <is>
          <t>Aegis Plus Auxiliaries</t>
        </is>
      </c>
      <c r="R228" s="10" t="inlineStr">
        <is>
          <t>Shunt Trip Coil 110V AC for Circuit Breaker Tripping. Operating temperature: -30°C to +70°C; Padlock facility: 8.5mm hole; Fully interlocked with main mechanism</t>
        </is>
      </c>
      <c r="S228" s="10" t="inlineStr">
        <is>
          <t>Aegis Plus Switching and Breaker Modules</t>
        </is>
      </c>
      <c r="T228" s="9" t="n">
        <v>1</v>
      </c>
      <c r="U228" s="10" t="inlineStr">
        <is>
          <t>Enhances automation, safety, remote control and monitoring</t>
        </is>
      </c>
      <c r="V228" s="9" t="n">
        <v>29</v>
      </c>
    </row>
    <row r="229" ht="20" customHeight="1">
      <c r="A229" s="5" t="n">
        <v>225</v>
      </c>
      <c r="B229" s="6" t="inlineStr">
        <is>
          <t>Lucy Electric</t>
        </is>
      </c>
      <c r="C229" s="6" t="inlineStr">
        <is>
          <t>Actuators &amp; Shunt Trips</t>
        </is>
      </c>
      <c r="D229" s="6" t="inlineStr">
        <is>
          <t>Shunt Trip Coil 240V AC for Circuit Breaker Tripping</t>
        </is>
      </c>
      <c r="E229" s="6" t="inlineStr">
        <is>
          <t>Lucy Electric SHUNT-240VAC</t>
        </is>
      </c>
      <c r="F229" s="6" t="inlineStr">
        <is>
          <t>Voltage: 240V AC</t>
        </is>
      </c>
      <c r="G229" s="6" t="inlineStr">
        <is>
          <t>Type: Magnetic Coil</t>
        </is>
      </c>
      <c r="H229" s="6" t="inlineStr">
        <is>
          <t>Tripping: Breaker Trip</t>
        </is>
      </c>
      <c r="I229" s="6" t="inlineStr">
        <is>
          <t>Standard Response</t>
        </is>
      </c>
      <c r="J229" s="6" t="inlineStr">
        <is>
          <t>Internal Mount</t>
        </is>
      </c>
      <c r="K229" s="6" t="inlineStr">
        <is>
          <t>Mechanism Accessory</t>
        </is>
      </c>
      <c r="L229" s="6" t="inlineStr">
        <is>
          <t>Stocked</t>
        </is>
      </c>
      <c r="M229" s="6" t="inlineStr">
        <is>
          <t>SHUNT-240VAC</t>
        </is>
      </c>
      <c r="N229" s="7" t="n"/>
      <c r="O229" s="8" t="inlineStr">
        <is>
          <t>Upon request</t>
        </is>
      </c>
      <c r="P229" s="8">
        <f>IF(ISNUMBER(O229),O229*(1-N229),O229)</f>
        <v/>
      </c>
      <c r="Q229" s="6" t="inlineStr">
        <is>
          <t>Aegis Plus Auxiliaries</t>
        </is>
      </c>
      <c r="R229" s="6" t="inlineStr">
        <is>
          <t>Shunt Trip Coil 240V AC for Circuit Breaker Tripping. Operating temperature: -30°C to +70°C; Padlock facility: 8.5mm hole; Fully interlocked with main mechanism</t>
        </is>
      </c>
      <c r="S229" s="6" t="inlineStr">
        <is>
          <t>Aegis Plus Switching and Breaker Modules</t>
        </is>
      </c>
      <c r="T229" s="5" t="n">
        <v>1</v>
      </c>
      <c r="U229" s="6" t="inlineStr">
        <is>
          <t>Enhances automation, safety, remote control and monitoring</t>
        </is>
      </c>
      <c r="V229" s="5" t="n">
        <v>29</v>
      </c>
    </row>
    <row r="230" ht="20" customHeight="1">
      <c r="A230" s="9" t="n">
        <v>226</v>
      </c>
      <c r="B230" s="10" t="inlineStr">
        <is>
          <t>Lucy Electric</t>
        </is>
      </c>
      <c r="C230" s="10" t="inlineStr">
        <is>
          <t>Actuators &amp; Shunt Trips</t>
        </is>
      </c>
      <c r="D230" s="10" t="inlineStr">
        <is>
          <t>Multi-Voltage Shunt Trip Coil (24V DC - 240V AC/DC Wide Range)</t>
        </is>
      </c>
      <c r="E230" s="10" t="inlineStr">
        <is>
          <t>Lucy Electric SHUNT-MULTI</t>
        </is>
      </c>
      <c r="F230" s="10" t="inlineStr">
        <is>
          <t>Voltage: 24VDC - 240VAC</t>
        </is>
      </c>
      <c r="G230" s="10" t="inlineStr">
        <is>
          <t>Type: Wide Voltage Coil</t>
        </is>
      </c>
      <c r="H230" s="10" t="inlineStr">
        <is>
          <t>Tripping: Breaker Trip</t>
        </is>
      </c>
      <c r="I230" s="10" t="inlineStr">
        <is>
          <t>Universal Input</t>
        </is>
      </c>
      <c r="J230" s="10" t="inlineStr">
        <is>
          <t>Internal Mount</t>
        </is>
      </c>
      <c r="K230" s="10" t="inlineStr">
        <is>
          <t>Mechanism Accessory</t>
        </is>
      </c>
      <c r="L230" s="10" t="inlineStr">
        <is>
          <t>Stocked</t>
        </is>
      </c>
      <c r="M230" s="10" t="inlineStr">
        <is>
          <t>SHUNT-MULTI</t>
        </is>
      </c>
      <c r="N230" s="11" t="n"/>
      <c r="O230" s="12" t="inlineStr">
        <is>
          <t>Upon request</t>
        </is>
      </c>
      <c r="P230" s="12">
        <f>IF(ISNUMBER(O230),O230*(1-N230),O230)</f>
        <v/>
      </c>
      <c r="Q230" s="10" t="inlineStr">
        <is>
          <t>Aegis Plus Auxiliaries</t>
        </is>
      </c>
      <c r="R230" s="10" t="inlineStr">
        <is>
          <t>Multi-Voltage Shunt Trip Coil (24V DC - 240V AC/DC Wide Range). Operating temperature: -30°C to +70°C; Padlock facility: 8.5mm hole; Fully interlocked with main mechanism</t>
        </is>
      </c>
      <c r="S230" s="10" t="inlineStr">
        <is>
          <t>Aegis Plus Switching and Breaker Modules</t>
        </is>
      </c>
      <c r="T230" s="9" t="n">
        <v>1</v>
      </c>
      <c r="U230" s="10" t="inlineStr">
        <is>
          <t>Enhances automation, safety, remote control and monitoring</t>
        </is>
      </c>
      <c r="V230" s="9" t="n">
        <v>29</v>
      </c>
    </row>
    <row r="231" ht="20" customHeight="1">
      <c r="A231" s="5" t="n">
        <v>227</v>
      </c>
      <c r="B231" s="6" t="inlineStr">
        <is>
          <t>Lucy Electric</t>
        </is>
      </c>
      <c r="C231" s="6" t="inlineStr">
        <is>
          <t>Actuators &amp; Shunt Trips</t>
        </is>
      </c>
      <c r="D231" s="6" t="inlineStr">
        <is>
          <t>Undervoltage Release Coil for Circuit Breaker Protection</t>
        </is>
      </c>
      <c r="E231" s="6" t="inlineStr">
        <is>
          <t>Lucy Electric UVR-COIL</t>
        </is>
      </c>
      <c r="F231" s="6" t="inlineStr">
        <is>
          <t>Voltage: 110/240V</t>
        </is>
      </c>
      <c r="G231" s="6" t="inlineStr">
        <is>
          <t>Type: Undervoltage Drop-out</t>
        </is>
      </c>
      <c r="H231" s="6" t="inlineStr">
        <is>
          <t>Safety: Auto-Trip on Loss</t>
        </is>
      </c>
      <c r="I231" s="6" t="inlineStr">
        <is>
          <t>Fail-Safe</t>
        </is>
      </c>
      <c r="J231" s="6" t="inlineStr">
        <is>
          <t>Internal Mount</t>
        </is>
      </c>
      <c r="K231" s="6" t="inlineStr">
        <is>
          <t>Mechanism Accessory</t>
        </is>
      </c>
      <c r="L231" s="6" t="inlineStr">
        <is>
          <t>Stocked</t>
        </is>
      </c>
      <c r="M231" s="6" t="inlineStr">
        <is>
          <t>UVR-COIL</t>
        </is>
      </c>
      <c r="N231" s="7" t="n"/>
      <c r="O231" s="8" t="inlineStr">
        <is>
          <t>Upon request</t>
        </is>
      </c>
      <c r="P231" s="8">
        <f>IF(ISNUMBER(O231),O231*(1-N231),O231)</f>
        <v/>
      </c>
      <c r="Q231" s="6" t="inlineStr">
        <is>
          <t>Aegis Plus Auxiliaries</t>
        </is>
      </c>
      <c r="R231" s="6" t="inlineStr">
        <is>
          <t>Undervoltage Release Coil for Circuit Breaker Protection. Operating temperature: -30°C to +70°C; Padlock facility: 8.5mm hole; Fully interlocked with main mechanism</t>
        </is>
      </c>
      <c r="S231" s="6" t="inlineStr">
        <is>
          <t>Aegis Plus Switching and Breaker Modules</t>
        </is>
      </c>
      <c r="T231" s="5" t="n">
        <v>1</v>
      </c>
      <c r="U231" s="6" t="inlineStr">
        <is>
          <t>Enhances automation, safety, remote control and monitoring</t>
        </is>
      </c>
      <c r="V231" s="5" t="n">
        <v>17</v>
      </c>
    </row>
    <row r="232" ht="20" customHeight="1">
      <c r="A232" s="9" t="n">
        <v>228</v>
      </c>
      <c r="B232" s="10" t="inlineStr">
        <is>
          <t>Lucy Electric</t>
        </is>
      </c>
      <c r="C232" s="10" t="inlineStr">
        <is>
          <t>Actuators &amp; Shunt Trips</t>
        </is>
      </c>
      <c r="D232" s="10" t="inlineStr">
        <is>
          <t>Closing Coil for Remote Closing Operation (C Module Auto-Reclose)</t>
        </is>
      </c>
      <c r="E232" s="10" t="inlineStr">
        <is>
          <t>Lucy Electric CLOSING-COIL</t>
        </is>
      </c>
      <c r="F232" s="10" t="inlineStr">
        <is>
          <t>Voltage: 24V DC / 110V</t>
        </is>
      </c>
      <c r="G232" s="10" t="inlineStr">
        <is>
          <t>Type: Remote Close</t>
        </is>
      </c>
      <c r="H232" s="10" t="inlineStr">
        <is>
          <t>Application: C Function</t>
        </is>
      </c>
      <c r="I232" s="10" t="inlineStr">
        <is>
          <t>Remote Control</t>
        </is>
      </c>
      <c r="J232" s="10" t="inlineStr">
        <is>
          <t>Internal Mount</t>
        </is>
      </c>
      <c r="K232" s="10" t="inlineStr">
        <is>
          <t>Mechanism Accessory</t>
        </is>
      </c>
      <c r="L232" s="10" t="inlineStr">
        <is>
          <t>Stocked</t>
        </is>
      </c>
      <c r="M232" s="10" t="inlineStr">
        <is>
          <t>CLOSING-COIL</t>
        </is>
      </c>
      <c r="N232" s="11" t="n"/>
      <c r="O232" s="12" t="inlineStr">
        <is>
          <t>Upon request</t>
        </is>
      </c>
      <c r="P232" s="12">
        <f>IF(ISNUMBER(O232),O232*(1-N232),O232)</f>
        <v/>
      </c>
      <c r="Q232" s="10" t="inlineStr">
        <is>
          <t>Aegis Plus Auxiliaries</t>
        </is>
      </c>
      <c r="R232" s="10" t="inlineStr">
        <is>
          <t>Closing Coil for Remote Closing Operation (C Module Auto-Reclose). Operating temperature: -30°C to +70°C; Padlock facility: 8.5mm hole; Fully interlocked with main mechanism</t>
        </is>
      </c>
      <c r="S232" s="10" t="inlineStr">
        <is>
          <t>Aegis Plus Switching and Breaker Modules</t>
        </is>
      </c>
      <c r="T232" s="9" t="n">
        <v>1</v>
      </c>
      <c r="U232" s="10" t="inlineStr">
        <is>
          <t>Enhances automation, safety, remote control and monitoring</t>
        </is>
      </c>
      <c r="V232" s="9" t="n">
        <v>17</v>
      </c>
    </row>
    <row r="233" ht="20" customHeight="1">
      <c r="A233" s="5" t="n">
        <v>229</v>
      </c>
      <c r="B233" s="6" t="inlineStr">
        <is>
          <t>Lucy Electric</t>
        </is>
      </c>
      <c r="C233" s="6" t="inlineStr">
        <is>
          <t>Actuators &amp; Shunt Trips</t>
        </is>
      </c>
      <c r="D233" s="6" t="inlineStr">
        <is>
          <t>Auxiliary Contact Switch Block 1N/O + 1N/C for Remote Position Indication</t>
        </is>
      </c>
      <c r="E233" s="6" t="inlineStr">
        <is>
          <t>Lucy Electric AUX-1NO-1NC</t>
        </is>
      </c>
      <c r="F233" s="6" t="inlineStr">
        <is>
          <t>Contacts: 1NO + 1NC</t>
        </is>
      </c>
      <c r="G233" s="6" t="inlineStr">
        <is>
          <t>Rating: 10A 240V</t>
        </is>
      </c>
      <c r="H233" s="6" t="inlineStr">
        <is>
          <t>Signals: ON/OFF State</t>
        </is>
      </c>
      <c r="I233" s="6" t="inlineStr">
        <is>
          <t>Switch / Breaker</t>
        </is>
      </c>
      <c r="J233" s="6" t="inlineStr">
        <is>
          <t>Factory Fitted</t>
        </is>
      </c>
      <c r="K233" s="6" t="inlineStr">
        <is>
          <t>Mechanism Accessory</t>
        </is>
      </c>
      <c r="L233" s="6" t="inlineStr">
        <is>
          <t>Stocked</t>
        </is>
      </c>
      <c r="M233" s="6" t="inlineStr">
        <is>
          <t>AUX-1NO-1NC</t>
        </is>
      </c>
      <c r="N233" s="7" t="n"/>
      <c r="O233" s="8" t="inlineStr">
        <is>
          <t>Upon request</t>
        </is>
      </c>
      <c r="P233" s="8">
        <f>IF(ISNUMBER(O233),O233*(1-N233),O233)</f>
        <v/>
      </c>
      <c r="Q233" s="6" t="inlineStr">
        <is>
          <t>Aegis Plus Auxiliaries</t>
        </is>
      </c>
      <c r="R233" s="6" t="inlineStr">
        <is>
          <t>Auxiliary Contact Switch Block 1N/O + 1N/C for Remote Position Indication. Operating temperature: -30°C to +70°C; Padlock facility: 8.5mm hole; Fully interlocked with main mechanism</t>
        </is>
      </c>
      <c r="S233" s="6" t="inlineStr">
        <is>
          <t>Aegis Plus Switching and Breaker Modules</t>
        </is>
      </c>
      <c r="T233" s="5" t="n">
        <v>1</v>
      </c>
      <c r="U233" s="6" t="inlineStr">
        <is>
          <t>Enhances automation, safety, remote control and monitoring</t>
        </is>
      </c>
      <c r="V233" s="5" t="n">
        <v>15</v>
      </c>
    </row>
    <row r="234" ht="20" customHeight="1">
      <c r="A234" s="9" t="n">
        <v>230</v>
      </c>
      <c r="B234" s="10" t="inlineStr">
        <is>
          <t>Lucy Electric</t>
        </is>
      </c>
      <c r="C234" s="10" t="inlineStr">
        <is>
          <t>Actuators &amp; Shunt Trips</t>
        </is>
      </c>
      <c r="D234" s="10" t="inlineStr">
        <is>
          <t>Auxiliary Contact Switch Block 2N/O + 2N/C for Remote Position Indication</t>
        </is>
      </c>
      <c r="E234" s="10" t="inlineStr">
        <is>
          <t>Lucy Electric AUX-2NO-2NC</t>
        </is>
      </c>
      <c r="F234" s="10" t="inlineStr">
        <is>
          <t>Contacts: 2NO + 2NC</t>
        </is>
      </c>
      <c r="G234" s="10" t="inlineStr">
        <is>
          <t>Rating: 10A 240V</t>
        </is>
      </c>
      <c r="H234" s="10" t="inlineStr">
        <is>
          <t>Signals: ON/OFF State</t>
        </is>
      </c>
      <c r="I234" s="10" t="inlineStr">
        <is>
          <t>Switch / Breaker</t>
        </is>
      </c>
      <c r="J234" s="10" t="inlineStr">
        <is>
          <t>Factory Fitted</t>
        </is>
      </c>
      <c r="K234" s="10" t="inlineStr">
        <is>
          <t>Mechanism Accessory</t>
        </is>
      </c>
      <c r="L234" s="10" t="inlineStr">
        <is>
          <t>Stocked</t>
        </is>
      </c>
      <c r="M234" s="10" t="inlineStr">
        <is>
          <t>AUX-2NO-2NC</t>
        </is>
      </c>
      <c r="N234" s="11" t="n"/>
      <c r="O234" s="12" t="inlineStr">
        <is>
          <t>Upon request</t>
        </is>
      </c>
      <c r="P234" s="12">
        <f>IF(ISNUMBER(O234),O234*(1-N234),O234)</f>
        <v/>
      </c>
      <c r="Q234" s="10" t="inlineStr">
        <is>
          <t>Aegis Plus Auxiliaries</t>
        </is>
      </c>
      <c r="R234" s="10" t="inlineStr">
        <is>
          <t>Auxiliary Contact Switch Block 2N/O + 2N/C for Remote Position Indication. Operating temperature: -30°C to +70°C; Padlock facility: 8.5mm hole; Fully interlocked with main mechanism</t>
        </is>
      </c>
      <c r="S234" s="10" t="inlineStr">
        <is>
          <t>Aegis Plus Switching and Breaker Modules</t>
        </is>
      </c>
      <c r="T234" s="9" t="n">
        <v>1</v>
      </c>
      <c r="U234" s="10" t="inlineStr">
        <is>
          <t>Enhances automation, safety, remote control and monitoring</t>
        </is>
      </c>
      <c r="V234" s="9" t="n">
        <v>15</v>
      </c>
    </row>
    <row r="235" ht="20" customHeight="1">
      <c r="A235" s="5" t="n">
        <v>231</v>
      </c>
      <c r="B235" s="6" t="inlineStr">
        <is>
          <t>Lucy Electric</t>
        </is>
      </c>
      <c r="C235" s="6" t="inlineStr">
        <is>
          <t>Actuators &amp; Shunt Trips</t>
        </is>
      </c>
      <c r="D235" s="6" t="inlineStr">
        <is>
          <t>Remote Low Gas Pressure Alarm Contact Switch 1N/O</t>
        </is>
      </c>
      <c r="E235" s="6" t="inlineStr">
        <is>
          <t>Lucy Electric GAS-ALARM-1NO</t>
        </is>
      </c>
      <c r="F235" s="6" t="inlineStr">
        <is>
          <t>Contact: 1N/O</t>
        </is>
      </c>
      <c r="G235" s="6" t="inlineStr">
        <is>
          <t>Threshold: 0.01 MPa</t>
        </is>
      </c>
      <c r="H235" s="6" t="inlineStr">
        <is>
          <t>Medium: SF6 Pressure</t>
        </is>
      </c>
      <c r="I235" s="6" t="inlineStr">
        <is>
          <t>Safety: Tele-Alarm</t>
        </is>
      </c>
      <c r="J235" s="6" t="inlineStr">
        <is>
          <t>Tank Mounted</t>
        </is>
      </c>
      <c r="K235" s="6" t="inlineStr">
        <is>
          <t>Mechanism Accessory</t>
        </is>
      </c>
      <c r="L235" s="6" t="inlineStr">
        <is>
          <t>Stocked</t>
        </is>
      </c>
      <c r="M235" s="6" t="inlineStr">
        <is>
          <t>GAS-ALARM-1NO</t>
        </is>
      </c>
      <c r="N235" s="7" t="n"/>
      <c r="O235" s="8" t="inlineStr">
        <is>
          <t>Upon request</t>
        </is>
      </c>
      <c r="P235" s="8">
        <f>IF(ISNUMBER(O235),O235*(1-N235),O235)</f>
        <v/>
      </c>
      <c r="Q235" s="6" t="inlineStr">
        <is>
          <t>Aegis Plus Auxiliaries</t>
        </is>
      </c>
      <c r="R235" s="6" t="inlineStr">
        <is>
          <t>Remote Low Gas Pressure Alarm Contact Switch 1N/O. Operating temperature: -30°C to +70°C; Padlock facility: 8.5mm hole; Fully interlocked with main mechanism</t>
        </is>
      </c>
      <c r="S235" s="6" t="inlineStr">
        <is>
          <t>Aegis Plus Switching and Breaker Modules</t>
        </is>
      </c>
      <c r="T235" s="5" t="n">
        <v>1</v>
      </c>
      <c r="U235" s="6" t="inlineStr">
        <is>
          <t>Enhances automation, safety, remote control and monitoring</t>
        </is>
      </c>
      <c r="V235" s="5" t="n">
        <v>8</v>
      </c>
    </row>
    <row r="236" ht="20" customHeight="1">
      <c r="A236" s="9" t="n">
        <v>232</v>
      </c>
      <c r="B236" s="10" t="inlineStr">
        <is>
          <t>Lucy Electric</t>
        </is>
      </c>
      <c r="C236" s="10" t="inlineStr">
        <is>
          <t>Actuators &amp; Shunt Trips</t>
        </is>
      </c>
      <c r="D236" s="10" t="inlineStr">
        <is>
          <t>Temperature Compensated SF6 Gas Pressure Gauge with Red/Green Sectors</t>
        </is>
      </c>
      <c r="E236" s="10" t="inlineStr">
        <is>
          <t>Lucy Electric GAS-GAUGE-TC</t>
        </is>
      </c>
      <c r="F236" s="10" t="inlineStr">
        <is>
          <t>Type: Temp-Compensated</t>
        </is>
      </c>
      <c r="G236" s="10" t="inlineStr">
        <is>
          <t>Scale: Red/Green Sector</t>
        </is>
      </c>
      <c r="H236" s="10" t="inlineStr">
        <is>
          <t>Pressure: 0.03 MPa Normal</t>
        </is>
      </c>
      <c r="I236" s="10" t="inlineStr">
        <is>
          <t>Direct Reading</t>
        </is>
      </c>
      <c r="J236" s="10" t="inlineStr">
        <is>
          <t>Tank Mounted</t>
        </is>
      </c>
      <c r="K236" s="10" t="inlineStr">
        <is>
          <t>Mechanism Accessory</t>
        </is>
      </c>
      <c r="L236" s="10" t="inlineStr">
        <is>
          <t>Stocked</t>
        </is>
      </c>
      <c r="M236" s="10" t="inlineStr">
        <is>
          <t>GAS-GAUGE-TC</t>
        </is>
      </c>
      <c r="N236" s="11" t="n"/>
      <c r="O236" s="12" t="inlineStr">
        <is>
          <t>Upon request</t>
        </is>
      </c>
      <c r="P236" s="12">
        <f>IF(ISNUMBER(O236),O236*(1-N236),O236)</f>
        <v/>
      </c>
      <c r="Q236" s="10" t="inlineStr">
        <is>
          <t>Aegis Plus Auxiliaries</t>
        </is>
      </c>
      <c r="R236" s="10" t="inlineStr">
        <is>
          <t>Temperature Compensated SF6 Gas Pressure Gauge with Red/Green Sectors. Operating temperature: -30°C to +70°C; Padlock facility: 8.5mm hole; Fully interlocked with main mechanism</t>
        </is>
      </c>
      <c r="S236" s="10" t="inlineStr">
        <is>
          <t>Aegis Plus Switching and Breaker Modules</t>
        </is>
      </c>
      <c r="T236" s="9" t="n">
        <v>1</v>
      </c>
      <c r="U236" s="10" t="inlineStr">
        <is>
          <t>Enhances automation, safety, remote control and monitoring</t>
        </is>
      </c>
      <c r="V236" s="9" t="n">
        <v>8</v>
      </c>
    </row>
    <row r="237" ht="20" customHeight="1">
      <c r="A237" s="5" t="n">
        <v>233</v>
      </c>
      <c r="B237" s="6" t="inlineStr">
        <is>
          <t>Lucy Electric</t>
        </is>
      </c>
      <c r="C237" s="6" t="inlineStr">
        <is>
          <t>Actuators &amp; Shunt Trips</t>
        </is>
      </c>
      <c r="D237" s="6" t="inlineStr">
        <is>
          <t>Mechanical Operations Counter for Switch / Breaker Mechanism</t>
        </is>
      </c>
      <c r="E237" s="6" t="inlineStr">
        <is>
          <t>Lucy Electric OP-COUNTER</t>
        </is>
      </c>
      <c r="F237" s="6" t="inlineStr">
        <is>
          <t>Display: 5-Digit</t>
        </is>
      </c>
      <c r="G237" s="6" t="inlineStr">
        <is>
          <t>Type: Mechanical Stepper</t>
        </is>
      </c>
      <c r="H237" s="6" t="inlineStr">
        <is>
          <t>Tracks: Operations Count</t>
        </is>
      </c>
      <c r="I237" s="6" t="inlineStr">
        <is>
          <t>Maintenance Record</t>
        </is>
      </c>
      <c r="J237" s="6" t="inlineStr">
        <is>
          <t>Fascia Mounted</t>
        </is>
      </c>
      <c r="K237" s="6" t="inlineStr">
        <is>
          <t>Mechanism Accessory</t>
        </is>
      </c>
      <c r="L237" s="6" t="inlineStr">
        <is>
          <t>Stocked</t>
        </is>
      </c>
      <c r="M237" s="6" t="inlineStr">
        <is>
          <t>OP-COUNTER</t>
        </is>
      </c>
      <c r="N237" s="7" t="n"/>
      <c r="O237" s="8" t="inlineStr">
        <is>
          <t>Upon request</t>
        </is>
      </c>
      <c r="P237" s="8">
        <f>IF(ISNUMBER(O237),O237*(1-N237),O237)</f>
        <v/>
      </c>
      <c r="Q237" s="6" t="inlineStr">
        <is>
          <t>Aegis Plus Auxiliaries</t>
        </is>
      </c>
      <c r="R237" s="6" t="inlineStr">
        <is>
          <t>Mechanical Operations Counter for Switch / Breaker Mechanism. Operating temperature: -30°C to +70°C; Padlock facility: 8.5mm hole; Fully interlocked with main mechanism</t>
        </is>
      </c>
      <c r="S237" s="6" t="inlineStr">
        <is>
          <t>Aegis Plus Switching and Breaker Modules</t>
        </is>
      </c>
      <c r="T237" s="5" t="n">
        <v>1</v>
      </c>
      <c r="U237" s="6" t="inlineStr">
        <is>
          <t>Enhances automation, safety, remote control and monitoring</t>
        </is>
      </c>
      <c r="V237" s="5" t="n">
        <v>15</v>
      </c>
    </row>
    <row r="238" ht="20" customHeight="1">
      <c r="A238" s="9" t="n">
        <v>234</v>
      </c>
      <c r="B238" s="10" t="inlineStr">
        <is>
          <t>Lucy Electric</t>
        </is>
      </c>
      <c r="C238" s="10" t="inlineStr">
        <is>
          <t>Actuators &amp; Shunt Trips</t>
        </is>
      </c>
      <c r="D238" s="10" t="inlineStr">
        <is>
          <t>Anti-Pumping Relay for Circuit Breaker C Module</t>
        </is>
      </c>
      <c r="E238" s="10" t="inlineStr">
        <is>
          <t>Lucy Electric RELAY-ANTI-PUMP</t>
        </is>
      </c>
      <c r="F238" s="10" t="inlineStr">
        <is>
          <t>Function: Anti-Pumping</t>
        </is>
      </c>
      <c r="G238" s="10" t="inlineStr">
        <is>
          <t>Prevents: Reclose Chattering</t>
        </is>
      </c>
      <c r="H238" s="10" t="inlineStr">
        <is>
          <t>Application: Auto-Reclose</t>
        </is>
      </c>
      <c r="I238" s="10" t="inlineStr">
        <is>
          <t>Safety Interlock</t>
        </is>
      </c>
      <c r="J238" s="10" t="inlineStr">
        <is>
          <t>Mechanism Housing</t>
        </is>
      </c>
      <c r="K238" s="10" t="inlineStr">
        <is>
          <t>Mechanism Accessory</t>
        </is>
      </c>
      <c r="L238" s="10" t="inlineStr">
        <is>
          <t>Stocked</t>
        </is>
      </c>
      <c r="M238" s="10" t="inlineStr">
        <is>
          <t>RELAY-ANTI-PUMP</t>
        </is>
      </c>
      <c r="N238" s="11" t="n"/>
      <c r="O238" s="12" t="inlineStr">
        <is>
          <t>Upon request</t>
        </is>
      </c>
      <c r="P238" s="12">
        <f>IF(ISNUMBER(O238),O238*(1-N238),O238)</f>
        <v/>
      </c>
      <c r="Q238" s="10" t="inlineStr">
        <is>
          <t>Aegis Plus Auxiliaries</t>
        </is>
      </c>
      <c r="R238" s="10" t="inlineStr">
        <is>
          <t>Anti-Pumping Relay for Circuit Breaker C Module. Operating temperature: -30°C to +70°C; Padlock facility: 8.5mm hole; Fully interlocked with main mechanism</t>
        </is>
      </c>
      <c r="S238" s="10" t="inlineStr">
        <is>
          <t>Aegis Plus Switching and Breaker Modules</t>
        </is>
      </c>
      <c r="T238" s="9" t="n">
        <v>1</v>
      </c>
      <c r="U238" s="10" t="inlineStr">
        <is>
          <t>Enhances automation, safety, remote control and monitoring</t>
        </is>
      </c>
      <c r="V238" s="9" t="n">
        <v>17</v>
      </c>
    </row>
    <row r="239" ht="20" customHeight="1">
      <c r="A239" s="5" t="n">
        <v>235</v>
      </c>
      <c r="B239" s="6" t="inlineStr">
        <is>
          <t>Castell / Ronis</t>
        </is>
      </c>
      <c r="C239" s="6" t="inlineStr">
        <is>
          <t>Actuators &amp; Shunt Trips</t>
        </is>
      </c>
      <c r="D239" s="6" t="inlineStr">
        <is>
          <t>Mechanical Key Interlock Assembly (Castell / Ronis Keys)</t>
        </is>
      </c>
      <c r="E239" s="6" t="inlineStr">
        <is>
          <t>Castell / Ronis KEY-INTERLOCK</t>
        </is>
      </c>
      <c r="F239" s="6" t="inlineStr">
        <is>
          <t>Type: Key Interlock</t>
        </is>
      </c>
      <c r="G239" s="6" t="inlineStr">
        <is>
          <t>Brand: Castell / Ronis</t>
        </is>
      </c>
      <c r="H239" s="6" t="inlineStr">
        <is>
          <t>Safety: Trapped Key</t>
        </is>
      </c>
      <c r="I239" s="6" t="inlineStr">
        <is>
          <t>Padlockable 8.5mm</t>
        </is>
      </c>
      <c r="J239" s="6" t="inlineStr">
        <is>
          <t>Mechanism Collar</t>
        </is>
      </c>
      <c r="K239" s="6" t="inlineStr">
        <is>
          <t>Mechanism Accessory</t>
        </is>
      </c>
      <c r="L239" s="6" t="inlineStr">
        <is>
          <t>Stocked</t>
        </is>
      </c>
      <c r="M239" s="6" t="inlineStr">
        <is>
          <t>KEY-INTERLOCK</t>
        </is>
      </c>
      <c r="N239" s="7" t="n"/>
      <c r="O239" s="8" t="inlineStr">
        <is>
          <t>Upon request</t>
        </is>
      </c>
      <c r="P239" s="8">
        <f>IF(ISNUMBER(O239),O239*(1-N239),O239)</f>
        <v/>
      </c>
      <c r="Q239" s="6" t="inlineStr">
        <is>
          <t>Aegis Plus Auxiliaries</t>
        </is>
      </c>
      <c r="R239" s="6" t="inlineStr">
        <is>
          <t>Mechanical Key Interlock Assembly (Castell / Ronis Keys). Operating temperature: -30°C to +70°C; Padlock facility: 8.5mm hole; Fully interlocked with main mechanism</t>
        </is>
      </c>
      <c r="S239" s="6" t="inlineStr">
        <is>
          <t>Aegis Plus Switching and Breaker Modules</t>
        </is>
      </c>
      <c r="T239" s="5" t="n">
        <v>1</v>
      </c>
      <c r="U239" s="6" t="inlineStr">
        <is>
          <t>Enhances automation, safety, remote control and monitoring</t>
        </is>
      </c>
      <c r="V239" s="5" t="n">
        <v>8</v>
      </c>
    </row>
    <row r="240" ht="20" customHeight="1">
      <c r="A240" s="9" t="n">
        <v>236</v>
      </c>
      <c r="B240" s="10" t="inlineStr">
        <is>
          <t>Lucy Electric</t>
        </is>
      </c>
      <c r="C240" s="10" t="inlineStr">
        <is>
          <t>Actuators &amp; Shunt Trips</t>
        </is>
      </c>
      <c r="D240" s="10" t="inlineStr">
        <is>
          <t>Integrated Front Cable Earth and Test (E&amp;T) Facility with Star Bar</t>
        </is>
      </c>
      <c r="E240" s="10" t="inlineStr">
        <is>
          <t>Lucy Electric ET-FACILITY</t>
        </is>
      </c>
      <c r="F240" s="10" t="inlineStr">
        <is>
          <t>Access: Front Fascia</t>
        </is>
      </c>
      <c r="G240" s="10" t="inlineStr">
        <is>
          <t>Testing: Cable Insulation/Faults</t>
        </is>
      </c>
      <c r="H240" s="10" t="inlineStr">
        <is>
          <t>Interlocked: Earth ON Only</t>
        </is>
      </c>
      <c r="I240" s="10" t="inlineStr">
        <is>
          <t>Star Bar: Removable</t>
        </is>
      </c>
      <c r="J240" s="10" t="inlineStr">
        <is>
          <t>Integral Unit</t>
        </is>
      </c>
      <c r="K240" s="10" t="inlineStr">
        <is>
          <t>Mechanism Accessory</t>
        </is>
      </c>
      <c r="L240" s="10" t="inlineStr">
        <is>
          <t>Stocked</t>
        </is>
      </c>
      <c r="M240" s="10" t="inlineStr">
        <is>
          <t>ET-FACILITY</t>
        </is>
      </c>
      <c r="N240" s="11" t="n"/>
      <c r="O240" s="12" t="inlineStr">
        <is>
          <t>Upon request</t>
        </is>
      </c>
      <c r="P240" s="12">
        <f>IF(ISNUMBER(O240),O240*(1-N240),O240)</f>
        <v/>
      </c>
      <c r="Q240" s="10" t="inlineStr">
        <is>
          <t>Aegis Plus Auxiliaries</t>
        </is>
      </c>
      <c r="R240" s="10" t="inlineStr">
        <is>
          <t>Integrated Front Cable Earth and Test (E&amp;T) Facility with Star Bar. Operating temperature: -30°C to +70°C; Padlock facility: 8.5mm hole; Fully interlocked with main mechanism</t>
        </is>
      </c>
      <c r="S240" s="10" t="inlineStr">
        <is>
          <t>Aegis Plus Switching and Breaker Modules</t>
        </is>
      </c>
      <c r="T240" s="9" t="n">
        <v>1</v>
      </c>
      <c r="U240" s="10" t="inlineStr">
        <is>
          <t>Enhances automation, safety, remote control and monitoring</t>
        </is>
      </c>
      <c r="V240" s="9" t="n">
        <v>8</v>
      </c>
    </row>
    <row r="241" ht="20" customHeight="1">
      <c r="A241" s="5" t="n">
        <v>237</v>
      </c>
      <c r="B241" s="6" t="inlineStr">
        <is>
          <t>Lucy Electric</t>
        </is>
      </c>
      <c r="C241" s="6" t="inlineStr">
        <is>
          <t>Actuators &amp; Shunt Trips</t>
        </is>
      </c>
      <c r="D241" s="6" t="inlineStr">
        <is>
          <t>Secondary Injection Test Terminal Facility for Protection Relays &amp; TLF</t>
        </is>
      </c>
      <c r="E241" s="6" t="inlineStr">
        <is>
          <t>Lucy Electric SEC-INJECTION</t>
        </is>
      </c>
      <c r="F241" s="6" t="inlineStr">
        <is>
          <t>Testing: Relay &amp; TLF</t>
        </is>
      </c>
      <c r="G241" s="6" t="inlineStr">
        <is>
          <t>Input: Secondary CT Loop</t>
        </is>
      </c>
      <c r="H241" s="6" t="inlineStr">
        <is>
          <t>Commissioning Aid</t>
        </is>
      </c>
      <c r="I241" s="6" t="inlineStr">
        <is>
          <t>Terminal Box Located</t>
        </is>
      </c>
      <c r="J241" s="6" t="inlineStr">
        <is>
          <t>LV Compartment</t>
        </is>
      </c>
      <c r="K241" s="6" t="inlineStr">
        <is>
          <t>Mechanism Accessory</t>
        </is>
      </c>
      <c r="L241" s="6" t="inlineStr">
        <is>
          <t>Stocked</t>
        </is>
      </c>
      <c r="M241" s="6" t="inlineStr">
        <is>
          <t>SEC-INJECTION</t>
        </is>
      </c>
      <c r="N241" s="7" t="n"/>
      <c r="O241" s="8" t="inlineStr">
        <is>
          <t>Upon request</t>
        </is>
      </c>
      <c r="P241" s="8">
        <f>IF(ISNUMBER(O241),O241*(1-N241),O241)</f>
        <v/>
      </c>
      <c r="Q241" s="6" t="inlineStr">
        <is>
          <t>Aegis Plus Auxiliaries</t>
        </is>
      </c>
      <c r="R241" s="6" t="inlineStr">
        <is>
          <t>Secondary Injection Test Terminal Facility for Protection Relays &amp; TLF. Operating temperature: -30°C to +70°C; Padlock facility: 8.5mm hole; Fully interlocked with main mechanism</t>
        </is>
      </c>
      <c r="S241" s="6" t="inlineStr">
        <is>
          <t>Aegis Plus Switching and Breaker Modules</t>
        </is>
      </c>
      <c r="T241" s="5" t="n">
        <v>1</v>
      </c>
      <c r="U241" s="6" t="inlineStr">
        <is>
          <t>Enhances automation, safety, remote control and monitoring</t>
        </is>
      </c>
      <c r="V241" s="5" t="n">
        <v>29</v>
      </c>
    </row>
    <row r="242" ht="20" customHeight="1">
      <c r="A242" s="9" t="n">
        <v>238</v>
      </c>
      <c r="B242" s="10" t="inlineStr">
        <is>
          <t>Lucy Electric</t>
        </is>
      </c>
      <c r="C242" s="10" t="inlineStr">
        <is>
          <t>Enclosure &amp; Venting Accessories</t>
        </is>
      </c>
      <c r="D242" s="10" t="inlineStr">
        <is>
          <t>Cable Compartment Enclosure 450mm Cable Bushing Height (Overall Unit H: 1280mm)</t>
        </is>
      </c>
      <c r="E242" s="10" t="inlineStr">
        <is>
          <t>Enclosure CC-450MM</t>
        </is>
      </c>
      <c r="F242" s="10" t="inlineStr">
        <is>
          <t>Height: 450mm</t>
        </is>
      </c>
      <c r="G242" s="10" t="inlineStr">
        <is>
          <t>Unit H: 1280mm</t>
        </is>
      </c>
      <c r="H242" s="10" t="inlineStr">
        <is>
          <t>Cable: Standard</t>
        </is>
      </c>
      <c r="I242" s="10" t="inlineStr">
        <is>
          <t>Interlocked Cover</t>
        </is>
      </c>
      <c r="J242" s="10" t="inlineStr">
        <is>
          <t>Zinc Coated Steel</t>
        </is>
      </c>
      <c r="K242" s="10" t="inlineStr">
        <is>
          <t>Enclosure Option</t>
        </is>
      </c>
      <c r="L242" s="10" t="inlineStr">
        <is>
          <t>Stocked</t>
        </is>
      </c>
      <c r="M242" s="10" t="inlineStr">
        <is>
          <t>CC-450MM</t>
        </is>
      </c>
      <c r="N242" s="11" t="n"/>
      <c r="O242" s="12" t="inlineStr">
        <is>
          <t>Upon request</t>
        </is>
      </c>
      <c r="P242" s="12">
        <f>IF(ISNUMBER(O242),O242*(1-N242),O242)</f>
        <v/>
      </c>
      <c r="Q242" s="10" t="inlineStr">
        <is>
          <t>Aegis Plus Enclosure</t>
        </is>
      </c>
      <c r="R242" s="10" t="inlineStr">
        <is>
          <t>Cable Compartment Enclosure 450mm Cable Bushing Height (Overall Unit H: 1280mm). Electro-statically applied oven cured paint; Zinc coated steel housing; Suitable for harsh environmental conditions and pollution resistance</t>
        </is>
      </c>
      <c r="S242" s="10" t="inlineStr">
        <is>
          <t>Aegis Plus Ring Main Units (All Configurations)</t>
        </is>
      </c>
      <c r="T242" s="9" t="n">
        <v>1</v>
      </c>
      <c r="U242" s="10" t="inlineStr">
        <is>
          <t>Tailors switchgear to site dimensions, cable sizes, and civil trench requirements</t>
        </is>
      </c>
      <c r="V242" s="9" t="n">
        <v>43</v>
      </c>
    </row>
    <row r="243" ht="20" customHeight="1">
      <c r="A243" s="5" t="n">
        <v>239</v>
      </c>
      <c r="B243" s="6" t="inlineStr">
        <is>
          <t>Lucy Electric</t>
        </is>
      </c>
      <c r="C243" s="6" t="inlineStr">
        <is>
          <t>Enclosure &amp; Venting Accessories</t>
        </is>
      </c>
      <c r="D243" s="6" t="inlineStr">
        <is>
          <t>Cable Compartment Enclosure 600mm Cable Bushing Height (Overall Unit H: 1430mm)</t>
        </is>
      </c>
      <c r="E243" s="6" t="inlineStr">
        <is>
          <t>Enclosure CC-600MM</t>
        </is>
      </c>
      <c r="F243" s="6" t="inlineStr">
        <is>
          <t>Height: 600mm</t>
        </is>
      </c>
      <c r="G243" s="6" t="inlineStr">
        <is>
          <t>Unit H: 1430mm</t>
        </is>
      </c>
      <c r="H243" s="6" t="inlineStr">
        <is>
          <t>Cable: Extended Space</t>
        </is>
      </c>
      <c r="I243" s="6" t="inlineStr">
        <is>
          <t>Interlocked Cover</t>
        </is>
      </c>
      <c r="J243" s="6" t="inlineStr">
        <is>
          <t>Zinc Coated Steel</t>
        </is>
      </c>
      <c r="K243" s="6" t="inlineStr">
        <is>
          <t>Enclosure Option</t>
        </is>
      </c>
      <c r="L243" s="6" t="inlineStr">
        <is>
          <t>Stocked</t>
        </is>
      </c>
      <c r="M243" s="6" t="inlineStr">
        <is>
          <t>CC-600MM</t>
        </is>
      </c>
      <c r="N243" s="7" t="n"/>
      <c r="O243" s="8" t="inlineStr">
        <is>
          <t>Upon request</t>
        </is>
      </c>
      <c r="P243" s="8">
        <f>IF(ISNUMBER(O243),O243*(1-N243),O243)</f>
        <v/>
      </c>
      <c r="Q243" s="6" t="inlineStr">
        <is>
          <t>Aegis Plus Enclosure</t>
        </is>
      </c>
      <c r="R243" s="6" t="inlineStr">
        <is>
          <t>Cable Compartment Enclosure 600mm Cable Bushing Height (Overall Unit H: 1430mm). Electro-statically applied oven cured paint; Zinc coated steel housing; Suitable for harsh environmental conditions and pollution resistance</t>
        </is>
      </c>
      <c r="S243" s="6" t="inlineStr">
        <is>
          <t>Aegis Plus Ring Main Units (All Configurations)</t>
        </is>
      </c>
      <c r="T243" s="5" t="n">
        <v>1</v>
      </c>
      <c r="U243" s="6" t="inlineStr">
        <is>
          <t>Tailors switchgear to site dimensions, cable sizes, and civil trench requirements</t>
        </is>
      </c>
      <c r="V243" s="5" t="n">
        <v>43</v>
      </c>
    </row>
    <row r="244" ht="20" customHeight="1">
      <c r="A244" s="9" t="n">
        <v>240</v>
      </c>
      <c r="B244" s="10" t="inlineStr">
        <is>
          <t>Lucy Electric</t>
        </is>
      </c>
      <c r="C244" s="10" t="inlineStr">
        <is>
          <t>Enclosure &amp; Venting Accessories</t>
        </is>
      </c>
      <c r="D244" s="10" t="inlineStr">
        <is>
          <t>Cable Compartment Enclosure 750mm Cable Bushing Height (Overall Unit H: 1580mm)</t>
        </is>
      </c>
      <c r="E244" s="10" t="inlineStr">
        <is>
          <t>Enclosure CC-750MM</t>
        </is>
      </c>
      <c r="F244" s="10" t="inlineStr">
        <is>
          <t>Height: 750mm</t>
        </is>
      </c>
      <c r="G244" s="10" t="inlineStr">
        <is>
          <t>Unit H: 1580mm</t>
        </is>
      </c>
      <c r="H244" s="10" t="inlineStr">
        <is>
          <t>Cable: Extra Deep Entry</t>
        </is>
      </c>
      <c r="I244" s="10" t="inlineStr">
        <is>
          <t>Interlocked Cover</t>
        </is>
      </c>
      <c r="J244" s="10" t="inlineStr">
        <is>
          <t>Zinc Coated Steel</t>
        </is>
      </c>
      <c r="K244" s="10" t="inlineStr">
        <is>
          <t>Enclosure Option</t>
        </is>
      </c>
      <c r="L244" s="10" t="inlineStr">
        <is>
          <t>Stocked</t>
        </is>
      </c>
      <c r="M244" s="10" t="inlineStr">
        <is>
          <t>CC-750MM</t>
        </is>
      </c>
      <c r="N244" s="11" t="n"/>
      <c r="O244" s="12" t="inlineStr">
        <is>
          <t>Upon request</t>
        </is>
      </c>
      <c r="P244" s="12">
        <f>IF(ISNUMBER(O244),O244*(1-N244),O244)</f>
        <v/>
      </c>
      <c r="Q244" s="10" t="inlineStr">
        <is>
          <t>Aegis Plus Enclosure</t>
        </is>
      </c>
      <c r="R244" s="10" t="inlineStr">
        <is>
          <t>Cable Compartment Enclosure 750mm Cable Bushing Height (Overall Unit H: 1580mm). Electro-statically applied oven cured paint; Zinc coated steel housing; Suitable for harsh environmental conditions and pollution resistance</t>
        </is>
      </c>
      <c r="S244" s="10" t="inlineStr">
        <is>
          <t>Aegis Plus Ring Main Units (All Configurations)</t>
        </is>
      </c>
      <c r="T244" s="9" t="n">
        <v>1</v>
      </c>
      <c r="U244" s="10" t="inlineStr">
        <is>
          <t>Tailors switchgear to site dimensions, cable sizes, and civil trench requirements</t>
        </is>
      </c>
      <c r="V244" s="9" t="n">
        <v>43</v>
      </c>
    </row>
    <row r="245" ht="20" customHeight="1">
      <c r="A245" s="5" t="n">
        <v>241</v>
      </c>
      <c r="B245" s="6" t="inlineStr">
        <is>
          <t>Lucy Electric</t>
        </is>
      </c>
      <c r="C245" s="6" t="inlineStr">
        <is>
          <t>Enclosure &amp; Venting Accessories</t>
        </is>
      </c>
      <c r="D245" s="6" t="inlineStr">
        <is>
          <t>IP54 Outdoor Enclosure Conversion Retrofit Door Kit (Converts IP41 to IP54)</t>
        </is>
      </c>
      <c r="E245" s="6" t="inlineStr">
        <is>
          <t>Enclosure KIT-IP54-OUTDOOR</t>
        </is>
      </c>
      <c r="F245" s="6" t="inlineStr">
        <is>
          <t>Ingress: IP54</t>
        </is>
      </c>
      <c r="G245" s="6" t="inlineStr">
        <is>
          <t>Design: Dual Retrofit Doors</t>
        </is>
      </c>
      <c r="H245" s="6" t="inlineStr">
        <is>
          <t>No Added Spatial Footprint</t>
        </is>
      </c>
      <c r="I245" s="6" t="inlineStr">
        <is>
          <t>Weatherproof</t>
        </is>
      </c>
      <c r="J245" s="6" t="inlineStr">
        <is>
          <t>UV / Corrosion Cured</t>
        </is>
      </c>
      <c r="K245" s="6" t="inlineStr">
        <is>
          <t>Enclosure Option</t>
        </is>
      </c>
      <c r="L245" s="6" t="inlineStr">
        <is>
          <t>Stocked</t>
        </is>
      </c>
      <c r="M245" s="6" t="inlineStr">
        <is>
          <t>KIT-IP54-OUTDOOR</t>
        </is>
      </c>
      <c r="N245" s="7" t="n"/>
      <c r="O245" s="8" t="inlineStr">
        <is>
          <t>Upon request</t>
        </is>
      </c>
      <c r="P245" s="8">
        <f>IF(ISNUMBER(O245),O245*(1-N245),O245)</f>
        <v/>
      </c>
      <c r="Q245" s="6" t="inlineStr">
        <is>
          <t>Aegis Plus Enclosure</t>
        </is>
      </c>
      <c r="R245" s="6" t="inlineStr">
        <is>
          <t>IP54 Outdoor Enclosure Conversion Retrofit Door Kit (Converts IP41 to IP54). Electro-statically applied oven cured paint; Zinc coated steel housing; Suitable for harsh environmental conditions and pollution resistance</t>
        </is>
      </c>
      <c r="S245" s="6" t="inlineStr">
        <is>
          <t>Aegis Plus Ring Main Units (All Configurations)</t>
        </is>
      </c>
      <c r="T245" s="5" t="n">
        <v>1</v>
      </c>
      <c r="U245" s="6" t="inlineStr">
        <is>
          <t>Tailors switchgear to site dimensions, cable sizes, and civil trench requirements</t>
        </is>
      </c>
      <c r="V245" s="5" t="n">
        <v>10</v>
      </c>
    </row>
    <row r="246" ht="20" customHeight="1">
      <c r="A246" s="9" t="n">
        <v>242</v>
      </c>
      <c r="B246" s="10" t="inlineStr">
        <is>
          <t>Lucy Electric</t>
        </is>
      </c>
      <c r="C246" s="10" t="inlineStr">
        <is>
          <t>Enclosure &amp; Venting Accessories</t>
        </is>
      </c>
      <c r="D246" s="10" t="inlineStr">
        <is>
          <t>Internal Arc Protection Kit - AF Front Operator Safety (Rear Venting Plate)</t>
        </is>
      </c>
      <c r="E246" s="10" t="inlineStr">
        <is>
          <t>Enclosure IAC-AF-VENT</t>
        </is>
      </c>
      <c r="F246" s="10" t="inlineStr">
        <is>
          <t>IAC: AF</t>
        </is>
      </c>
      <c r="G246" s="10" t="inlineStr">
        <is>
          <t>Current: 20kA 1s</t>
        </is>
      </c>
      <c r="H246" s="10" t="inlineStr">
        <is>
          <t>Venting: Rear Sacrificial Plate</t>
        </is>
      </c>
      <c r="I246" s="10" t="inlineStr">
        <is>
          <t>Protection: Operator Front</t>
        </is>
      </c>
      <c r="J246" s="10" t="inlineStr">
        <is>
          <t>SF6 Tank &amp; Cable Box</t>
        </is>
      </c>
      <c r="K246" s="10" t="inlineStr">
        <is>
          <t>Enclosure Option</t>
        </is>
      </c>
      <c r="L246" s="10" t="inlineStr">
        <is>
          <t>Stocked</t>
        </is>
      </c>
      <c r="M246" s="10" t="inlineStr">
        <is>
          <t>IAC-AF-VENT</t>
        </is>
      </c>
      <c r="N246" s="11" t="n"/>
      <c r="O246" s="12" t="inlineStr">
        <is>
          <t>Upon request</t>
        </is>
      </c>
      <c r="P246" s="12">
        <f>IF(ISNUMBER(O246),O246*(1-N246),O246)</f>
        <v/>
      </c>
      <c r="Q246" s="10" t="inlineStr">
        <is>
          <t>Aegis Plus Enclosure</t>
        </is>
      </c>
      <c r="R246" s="10" t="inlineStr">
        <is>
          <t>Internal Arc Protection Kit - AF Front Operator Safety (Rear Venting Plate). Electro-statically applied oven cured paint; Zinc coated steel housing; Suitable for harsh environmental conditions and pollution resistance</t>
        </is>
      </c>
      <c r="S246" s="10" t="inlineStr">
        <is>
          <t>Aegis Plus Ring Main Units (All Configurations)</t>
        </is>
      </c>
      <c r="T246" s="9" t="n">
        <v>1</v>
      </c>
      <c r="U246" s="10" t="inlineStr">
        <is>
          <t>Tailors switchgear to site dimensions, cable sizes, and civil trench requirements</t>
        </is>
      </c>
      <c r="V246" s="9" t="n">
        <v>35</v>
      </c>
    </row>
    <row r="247" ht="20" customHeight="1">
      <c r="A247" s="5" t="n">
        <v>243</v>
      </c>
      <c r="B247" s="6" t="inlineStr">
        <is>
          <t>Lucy Electric</t>
        </is>
      </c>
      <c r="C247" s="6" t="inlineStr">
        <is>
          <t>Enclosure &amp; Venting Accessories</t>
        </is>
      </c>
      <c r="D247" s="6" t="inlineStr">
        <is>
          <t>Internal Arc Protection Kit - AFL Front &amp; Lateral Safety (Rear Venting)</t>
        </is>
      </c>
      <c r="E247" s="6" t="inlineStr">
        <is>
          <t>Enclosure IAC-AFL-VENT</t>
        </is>
      </c>
      <c r="F247" s="6" t="inlineStr">
        <is>
          <t>IAC: AFL</t>
        </is>
      </c>
      <c r="G247" s="6" t="inlineStr">
        <is>
          <t>Current: 20kA 1s</t>
        </is>
      </c>
      <c r="H247" s="6" t="inlineStr">
        <is>
          <t>Venting: Rear Venting</t>
        </is>
      </c>
      <c r="I247" s="6" t="inlineStr">
        <is>
          <t>Protection: Front &amp; Lateral</t>
        </is>
      </c>
      <c r="J247" s="6" t="inlineStr">
        <is>
          <t>SF6 Tank &amp; Cable Box</t>
        </is>
      </c>
      <c r="K247" s="6" t="inlineStr">
        <is>
          <t>Enclosure Option</t>
        </is>
      </c>
      <c r="L247" s="6" t="inlineStr">
        <is>
          <t>Stocked</t>
        </is>
      </c>
      <c r="M247" s="6" t="inlineStr">
        <is>
          <t>IAC-AFL-VENT</t>
        </is>
      </c>
      <c r="N247" s="7" t="n"/>
      <c r="O247" s="8" t="inlineStr">
        <is>
          <t>Upon request</t>
        </is>
      </c>
      <c r="P247" s="8">
        <f>IF(ISNUMBER(O247),O247*(1-N247),O247)</f>
        <v/>
      </c>
      <c r="Q247" s="6" t="inlineStr">
        <is>
          <t>Aegis Plus Enclosure</t>
        </is>
      </c>
      <c r="R247" s="6" t="inlineStr">
        <is>
          <t>Internal Arc Protection Kit - AFL Front &amp; Lateral Safety (Rear Venting). Electro-statically applied oven cured paint; Zinc coated steel housing; Suitable for harsh environmental conditions and pollution resistance</t>
        </is>
      </c>
      <c r="S247" s="6" t="inlineStr">
        <is>
          <t>Aegis Plus Ring Main Units (All Configurations)</t>
        </is>
      </c>
      <c r="T247" s="5" t="n">
        <v>1</v>
      </c>
      <c r="U247" s="6" t="inlineStr">
        <is>
          <t>Tailors switchgear to site dimensions, cable sizes, and civil trench requirements</t>
        </is>
      </c>
      <c r="V247" s="5" t="n">
        <v>35</v>
      </c>
    </row>
    <row r="248" ht="20" customHeight="1">
      <c r="A248" s="9" t="n">
        <v>244</v>
      </c>
      <c r="B248" s="10" t="inlineStr">
        <is>
          <t>Lucy Electric</t>
        </is>
      </c>
      <c r="C248" s="10" t="inlineStr">
        <is>
          <t>Enclosure &amp; Venting Accessories</t>
        </is>
      </c>
      <c r="D248" s="10" t="inlineStr">
        <is>
          <t>Internal Arc Protection Kit - AFLR Full Perimeter Safety (Cable Trench Venting)</t>
        </is>
      </c>
      <c r="E248" s="10" t="inlineStr">
        <is>
          <t>Enclosure IAC-AFLR-TRENCH</t>
        </is>
      </c>
      <c r="F248" s="10" t="inlineStr">
        <is>
          <t>IAC: AFLR</t>
        </is>
      </c>
      <c r="G248" s="10" t="inlineStr">
        <is>
          <t>Current: 20kA 1s</t>
        </is>
      </c>
      <c r="H248" s="10" t="inlineStr">
        <is>
          <t>Venting: Downward Trench</t>
        </is>
      </c>
      <c r="I248" s="10" t="inlineStr">
        <is>
          <t>Protection: Front/Side/Rear</t>
        </is>
      </c>
      <c r="J248" s="10" t="inlineStr">
        <is>
          <t>Substation Trench</t>
        </is>
      </c>
      <c r="K248" s="10" t="inlineStr">
        <is>
          <t>Enclosure Option</t>
        </is>
      </c>
      <c r="L248" s="10" t="inlineStr">
        <is>
          <t>Stocked</t>
        </is>
      </c>
      <c r="M248" s="10" t="inlineStr">
        <is>
          <t>IAC-AFLR-TRENCH</t>
        </is>
      </c>
      <c r="N248" s="11" t="n"/>
      <c r="O248" s="12" t="inlineStr">
        <is>
          <t>Upon request</t>
        </is>
      </c>
      <c r="P248" s="12">
        <f>IF(ISNUMBER(O248),O248*(1-N248),O248)</f>
        <v/>
      </c>
      <c r="Q248" s="10" t="inlineStr">
        <is>
          <t>Aegis Plus Enclosure</t>
        </is>
      </c>
      <c r="R248" s="10" t="inlineStr">
        <is>
          <t>Internal Arc Protection Kit - AFLR Full Perimeter Safety (Cable Trench Venting). Electro-statically applied oven cured paint; Zinc coated steel housing; Suitable for harsh environmental conditions and pollution resistance</t>
        </is>
      </c>
      <c r="S248" s="10" t="inlineStr">
        <is>
          <t>Aegis Plus Ring Main Units (All Configurations)</t>
        </is>
      </c>
      <c r="T248" s="9" t="n">
        <v>1</v>
      </c>
      <c r="U248" s="10" t="inlineStr">
        <is>
          <t>Tailors switchgear to site dimensions, cable sizes, and civil trench requirements</t>
        </is>
      </c>
      <c r="V248" s="9" t="n">
        <v>35</v>
      </c>
    </row>
    <row r="249" ht="20" customHeight="1">
      <c r="A249" s="5" t="n">
        <v>245</v>
      </c>
      <c r="B249" s="6" t="inlineStr">
        <is>
          <t>Lucy Electric</t>
        </is>
      </c>
      <c r="C249" s="6" t="inlineStr">
        <is>
          <t>Enclosure &amp; Venting Accessories</t>
        </is>
      </c>
      <c r="D249" s="6" t="inlineStr">
        <is>
          <t>Internal Arc Protection Kit - AFLR Full Perimeter Safety (Upward Chimney Venting)</t>
        </is>
      </c>
      <c r="E249" s="6" t="inlineStr">
        <is>
          <t>Enclosure IAC-AFLR-CHIMNEY</t>
        </is>
      </c>
      <c r="F249" s="6" t="inlineStr">
        <is>
          <t>IAC: AFLR</t>
        </is>
      </c>
      <c r="G249" s="6" t="inlineStr">
        <is>
          <t>Current: 20kA 1s</t>
        </is>
      </c>
      <c r="H249" s="6" t="inlineStr">
        <is>
          <t>Venting: Upward Chimney</t>
        </is>
      </c>
      <c r="I249" s="6" t="inlineStr">
        <is>
          <t>Protection: Front/Side/Rear</t>
        </is>
      </c>
      <c r="J249" s="6" t="inlineStr">
        <is>
          <t>Dedicated Exhaust Duct</t>
        </is>
      </c>
      <c r="K249" s="6" t="inlineStr">
        <is>
          <t>Enclosure Option</t>
        </is>
      </c>
      <c r="L249" s="6" t="inlineStr">
        <is>
          <t>Stocked</t>
        </is>
      </c>
      <c r="M249" s="6" t="inlineStr">
        <is>
          <t>IAC-AFLR-CHIMNEY</t>
        </is>
      </c>
      <c r="N249" s="7" t="n"/>
      <c r="O249" s="8" t="inlineStr">
        <is>
          <t>Upon request</t>
        </is>
      </c>
      <c r="P249" s="8">
        <f>IF(ISNUMBER(O249),O249*(1-N249),O249)</f>
        <v/>
      </c>
      <c r="Q249" s="6" t="inlineStr">
        <is>
          <t>Aegis Plus Enclosure</t>
        </is>
      </c>
      <c r="R249" s="6" t="inlineStr">
        <is>
          <t>Internal Arc Protection Kit - AFLR Full Perimeter Safety (Upward Chimney Venting). Electro-statically applied oven cured paint; Zinc coated steel housing; Suitable for harsh environmental conditions and pollution resistance</t>
        </is>
      </c>
      <c r="S249" s="6" t="inlineStr">
        <is>
          <t>Aegis Plus Ring Main Units (All Configurations)</t>
        </is>
      </c>
      <c r="T249" s="5" t="n">
        <v>1</v>
      </c>
      <c r="U249" s="6" t="inlineStr">
        <is>
          <t>Tailors switchgear to site dimensions, cable sizes, and civil trench requirements</t>
        </is>
      </c>
      <c r="V249" s="5" t="n">
        <v>35</v>
      </c>
    </row>
    <row r="250" ht="20" customHeight="1">
      <c r="A250" s="9" t="n">
        <v>246</v>
      </c>
      <c r="B250" s="10" t="inlineStr">
        <is>
          <t>Lucy Electric</t>
        </is>
      </c>
      <c r="C250" s="10" t="inlineStr">
        <is>
          <t>Enclosure &amp; Venting Accessories</t>
        </is>
      </c>
      <c r="D250" s="10" t="inlineStr">
        <is>
          <t>Metal Cable Clamps and Glands Kit for Single Core Polymeric Cables (up to 300 mm²)</t>
        </is>
      </c>
      <c r="E250" s="10" t="inlineStr">
        <is>
          <t>Enclosure CLAMP-METAL-1C</t>
        </is>
      </c>
      <c r="F250" s="10" t="inlineStr">
        <is>
          <t>Cable: 1-Core</t>
        </is>
      </c>
      <c r="G250" s="10" t="inlineStr">
        <is>
          <t>Size: Up to 300 mm²</t>
        </is>
      </c>
      <c r="H250" s="10" t="inlineStr">
        <is>
          <t>Material: Metal / Brass</t>
        </is>
      </c>
      <c r="I250" s="10" t="inlineStr">
        <is>
          <t>Earthing: Earth Stud Included</t>
        </is>
      </c>
      <c r="J250" s="10" t="inlineStr">
        <is>
          <t>Complete Set</t>
        </is>
      </c>
      <c r="K250" s="10" t="inlineStr">
        <is>
          <t>Enclosure Option</t>
        </is>
      </c>
      <c r="L250" s="10" t="inlineStr">
        <is>
          <t>Stocked</t>
        </is>
      </c>
      <c r="M250" s="10" t="inlineStr">
        <is>
          <t>CLAMP-METAL-1C</t>
        </is>
      </c>
      <c r="N250" s="11" t="n"/>
      <c r="O250" s="12" t="inlineStr">
        <is>
          <t>Upon request</t>
        </is>
      </c>
      <c r="P250" s="12">
        <f>IF(ISNUMBER(O250),O250*(1-N250),O250)</f>
        <v/>
      </c>
      <c r="Q250" s="10" t="inlineStr">
        <is>
          <t>Aegis Plus Enclosure</t>
        </is>
      </c>
      <c r="R250" s="10" t="inlineStr">
        <is>
          <t>Metal Cable Clamps and Glands Kit for Single Core Polymeric Cables (up to 300 mm²). Electro-statically applied oven cured paint; Zinc coated steel housing; Suitable for harsh environmental conditions and pollution resistance</t>
        </is>
      </c>
      <c r="S250" s="10" t="inlineStr">
        <is>
          <t>Aegis Plus Ring Main Units (All Configurations)</t>
        </is>
      </c>
      <c r="T250" s="9" t="n">
        <v>1</v>
      </c>
      <c r="U250" s="10" t="inlineStr">
        <is>
          <t>Tailors switchgear to site dimensions, cable sizes, and civil trench requirements</t>
        </is>
      </c>
      <c r="V250" s="9" t="n">
        <v>30</v>
      </c>
    </row>
    <row r="251" ht="20" customHeight="1">
      <c r="A251" s="5" t="n">
        <v>247</v>
      </c>
      <c r="B251" s="6" t="inlineStr">
        <is>
          <t>Lucy Electric</t>
        </is>
      </c>
      <c r="C251" s="6" t="inlineStr">
        <is>
          <t>Enclosure &amp; Venting Accessories</t>
        </is>
      </c>
      <c r="D251" s="6" t="inlineStr">
        <is>
          <t>Metal Cable Clamps and Glands Kit for Three Core Polymeric Cables (up to 500 mm²)</t>
        </is>
      </c>
      <c r="E251" s="6" t="inlineStr">
        <is>
          <t>Enclosure CLAMP-METAL-3C</t>
        </is>
      </c>
      <c r="F251" s="6" t="inlineStr">
        <is>
          <t>Cable: 3-Core</t>
        </is>
      </c>
      <c r="G251" s="6" t="inlineStr">
        <is>
          <t>Size: Up to 500 mm²</t>
        </is>
      </c>
      <c r="H251" s="6" t="inlineStr">
        <is>
          <t>Material: Metal / Brass</t>
        </is>
      </c>
      <c r="I251" s="6" t="inlineStr">
        <is>
          <t>Earthing: Earth Stud Included</t>
        </is>
      </c>
      <c r="J251" s="6" t="inlineStr">
        <is>
          <t>Complete Set</t>
        </is>
      </c>
      <c r="K251" s="6" t="inlineStr">
        <is>
          <t>Enclosure Option</t>
        </is>
      </c>
      <c r="L251" s="6" t="inlineStr">
        <is>
          <t>Stocked</t>
        </is>
      </c>
      <c r="M251" s="6" t="inlineStr">
        <is>
          <t>CLAMP-METAL-3C</t>
        </is>
      </c>
      <c r="N251" s="7" t="n"/>
      <c r="O251" s="8" t="inlineStr">
        <is>
          <t>Upon request</t>
        </is>
      </c>
      <c r="P251" s="8">
        <f>IF(ISNUMBER(O251),O251*(1-N251),O251)</f>
        <v/>
      </c>
      <c r="Q251" s="6" t="inlineStr">
        <is>
          <t>Aegis Plus Enclosure</t>
        </is>
      </c>
      <c r="R251" s="6" t="inlineStr">
        <is>
          <t>Metal Cable Clamps and Glands Kit for Three Core Polymeric Cables (up to 500 mm²). Electro-statically applied oven cured paint; Zinc coated steel housing; Suitable for harsh environmental conditions and pollution resistance</t>
        </is>
      </c>
      <c r="S251" s="6" t="inlineStr">
        <is>
          <t>Aegis Plus Ring Main Units (All Configurations)</t>
        </is>
      </c>
      <c r="T251" s="5" t="n">
        <v>1</v>
      </c>
      <c r="U251" s="6" t="inlineStr">
        <is>
          <t>Tailors switchgear to site dimensions, cable sizes, and civil trench requirements</t>
        </is>
      </c>
      <c r="V251" s="5" t="n">
        <v>30</v>
      </c>
    </row>
    <row r="252" ht="20" customHeight="1">
      <c r="A252" s="9" t="n">
        <v>248</v>
      </c>
      <c r="B252" s="10" t="inlineStr">
        <is>
          <t>Lucy Electric</t>
        </is>
      </c>
      <c r="C252" s="10" t="inlineStr">
        <is>
          <t>Enclosure &amp; Venting Accessories</t>
        </is>
      </c>
      <c r="D252" s="10" t="inlineStr">
        <is>
          <t>Plastic Insulated Cable Clamps Kit for Single Core Polymeric Cables</t>
        </is>
      </c>
      <c r="E252" s="10" t="inlineStr">
        <is>
          <t>Enclosure CLAMP-PLASTIC-1C</t>
        </is>
      </c>
      <c r="F252" s="10" t="inlineStr">
        <is>
          <t>Cable: 1-Core</t>
        </is>
      </c>
      <c r="G252" s="10" t="inlineStr">
        <is>
          <t>Size: Up to 300 mm²</t>
        </is>
      </c>
      <c r="H252" s="10" t="inlineStr">
        <is>
          <t>Material: High-Grade Polymer</t>
        </is>
      </c>
      <c r="I252" s="10" t="inlineStr">
        <is>
          <t>Non-Magnetic</t>
        </is>
      </c>
      <c r="J252" s="10" t="inlineStr">
        <is>
          <t>Complete Set</t>
        </is>
      </c>
      <c r="K252" s="10" t="inlineStr">
        <is>
          <t>Enclosure Option</t>
        </is>
      </c>
      <c r="L252" s="10" t="inlineStr">
        <is>
          <t>Stocked</t>
        </is>
      </c>
      <c r="M252" s="10" t="inlineStr">
        <is>
          <t>CLAMP-PLASTIC-1C</t>
        </is>
      </c>
      <c r="N252" s="11" t="n"/>
      <c r="O252" s="12" t="inlineStr">
        <is>
          <t>Upon request</t>
        </is>
      </c>
      <c r="P252" s="12">
        <f>IF(ISNUMBER(O252),O252*(1-N252),O252)</f>
        <v/>
      </c>
      <c r="Q252" s="10" t="inlineStr">
        <is>
          <t>Aegis Plus Enclosure</t>
        </is>
      </c>
      <c r="R252" s="10" t="inlineStr">
        <is>
          <t>Plastic Insulated Cable Clamps Kit for Single Core Polymeric Cables. Electro-statically applied oven cured paint; Zinc coated steel housing; Suitable for harsh environmental conditions and pollution resistance</t>
        </is>
      </c>
      <c r="S252" s="10" t="inlineStr">
        <is>
          <t>Aegis Plus Ring Main Units (All Configurations)</t>
        </is>
      </c>
      <c r="T252" s="9" t="n">
        <v>1</v>
      </c>
      <c r="U252" s="10" t="inlineStr">
        <is>
          <t>Tailors switchgear to site dimensions, cable sizes, and civil trench requirements</t>
        </is>
      </c>
      <c r="V252" s="9" t="n">
        <v>45</v>
      </c>
    </row>
    <row r="253" ht="20" customHeight="1">
      <c r="A253" s="5" t="n">
        <v>249</v>
      </c>
      <c r="B253" s="6" t="inlineStr">
        <is>
          <t>Lucy Electric</t>
        </is>
      </c>
      <c r="C253" s="6" t="inlineStr">
        <is>
          <t>Enclosure &amp; Venting Accessories</t>
        </is>
      </c>
      <c r="D253" s="6" t="inlineStr">
        <is>
          <t>Plastic Insulated Cable Clamps Kit for Three Core Polymeric Cables</t>
        </is>
      </c>
      <c r="E253" s="6" t="inlineStr">
        <is>
          <t>Enclosure CLAMP-PLASTIC-3C</t>
        </is>
      </c>
      <c r="F253" s="6" t="inlineStr">
        <is>
          <t>Cable: 3-Core</t>
        </is>
      </c>
      <c r="G253" s="6" t="inlineStr">
        <is>
          <t>Size: Up to 500 mm²</t>
        </is>
      </c>
      <c r="H253" s="6" t="inlineStr">
        <is>
          <t>Material: High-Grade Polymer</t>
        </is>
      </c>
      <c r="I253" s="6" t="inlineStr">
        <is>
          <t>Non-Magnetic</t>
        </is>
      </c>
      <c r="J253" s="6" t="inlineStr">
        <is>
          <t>Complete Set</t>
        </is>
      </c>
      <c r="K253" s="6" t="inlineStr">
        <is>
          <t>Enclosure Option</t>
        </is>
      </c>
      <c r="L253" s="6" t="inlineStr">
        <is>
          <t>Stocked</t>
        </is>
      </c>
      <c r="M253" s="6" t="inlineStr">
        <is>
          <t>CLAMP-PLASTIC-3C</t>
        </is>
      </c>
      <c r="N253" s="7" t="n"/>
      <c r="O253" s="8" t="inlineStr">
        <is>
          <t>Upon request</t>
        </is>
      </c>
      <c r="P253" s="8">
        <f>IF(ISNUMBER(O253),O253*(1-N253),O253)</f>
        <v/>
      </c>
      <c r="Q253" s="6" t="inlineStr">
        <is>
          <t>Aegis Plus Enclosure</t>
        </is>
      </c>
      <c r="R253" s="6" t="inlineStr">
        <is>
          <t>Plastic Insulated Cable Clamps Kit for Three Core Polymeric Cables. Electro-statically applied oven cured paint; Zinc coated steel housing; Suitable for harsh environmental conditions and pollution resistance</t>
        </is>
      </c>
      <c r="S253" s="6" t="inlineStr">
        <is>
          <t>Aegis Plus Ring Main Units (All Configurations)</t>
        </is>
      </c>
      <c r="T253" s="5" t="n">
        <v>1</v>
      </c>
      <c r="U253" s="6" t="inlineStr">
        <is>
          <t>Tailors switchgear to site dimensions, cable sizes, and civil trench requirements</t>
        </is>
      </c>
      <c r="V253" s="5" t="n">
        <v>45</v>
      </c>
    </row>
  </sheetData>
  <autoFilter ref="A4:V2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3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22" customWidth="1" min="4" max="4"/>
    <col width="28" customWidth="1" min="5" max="5"/>
    <col width="46" customWidth="1" min="6" max="6"/>
    <col width="18" customWidth="1" min="7" max="7"/>
    <col width="18" customWidth="1" min="8" max="8"/>
    <col width="24" customWidth="1" min="9" max="9"/>
    <col width="26" customWidth="1" min="10" max="10"/>
    <col width="16" customWidth="1" min="11" max="11"/>
    <col width="42" customWidth="1" min="12" max="12"/>
    <col width="14" customWidth="1" min="13" max="13"/>
    <col width="16" customWidth="1" min="14" max="14"/>
    <col width="12" customWidth="1" min="15" max="15"/>
    <col width="16" customWidth="1" min="16" max="16"/>
    <col width="18" customWidth="1" min="17" max="17"/>
    <col width="28" customWidth="1" min="18" max="18"/>
    <col width="24" customWidth="1" min="19" max="19"/>
    <col width="28" customWidth="1" min="20" max="20"/>
    <col width="16" customWidth="1" min="21" max="21"/>
  </cols>
  <sheetData>
    <row r="1">
      <c r="A1" s="1" t="inlineStr">
        <is>
          <t>Lucy Electric Aegis Plus - E-Commerce &amp; Product Master Data</t>
        </is>
      </c>
    </row>
    <row r="2">
      <c r="A2" s="2" t="inlineStr">
        <is>
          <t>Clean, normalized tabular data ready for ERP, E-Commerce, PIM import, and parametric filtering.</t>
        </is>
      </c>
    </row>
    <row r="4" ht="28" customHeight="1">
      <c r="A4" s="4" t="inlineStr">
        <is>
          <t>Category</t>
        </is>
      </c>
      <c r="B4" s="4" t="inlineStr">
        <is>
          <t>Subcategory</t>
        </is>
      </c>
      <c r="C4" s="4" t="inlineStr">
        <is>
          <t>Product Family</t>
        </is>
      </c>
      <c r="D4" s="4" t="inlineStr">
        <is>
          <t>Product Code / SKU</t>
        </is>
      </c>
      <c r="E4" s="4" t="inlineStr">
        <is>
          <t>Product Name</t>
        </is>
      </c>
      <c r="F4" s="4" t="inlineStr">
        <is>
          <t>Description</t>
        </is>
      </c>
      <c r="G4" s="3" t="inlineStr">
        <is>
          <t>Voltage Rating (kV)</t>
        </is>
      </c>
      <c r="H4" s="3" t="inlineStr">
        <is>
          <t>Current Rating (A)</t>
        </is>
      </c>
      <c r="I4" s="3" t="inlineStr">
        <is>
          <t>Breaking / Withstand Capacity (kA)</t>
        </is>
      </c>
      <c r="J4" s="4" t="inlineStr">
        <is>
          <t>Dimensions (W x D x H mm)</t>
        </is>
      </c>
      <c r="K4" s="3" t="inlineStr">
        <is>
          <t>Ingress Protection (IP)</t>
        </is>
      </c>
      <c r="L4" s="4" t="inlineStr">
        <is>
          <t>Technical Specifications</t>
        </is>
      </c>
      <c r="M4" s="3" t="inlineStr">
        <is>
          <t>Currency</t>
        </is>
      </c>
      <c r="N4" s="4" t="inlineStr">
        <is>
          <t>List Price</t>
        </is>
      </c>
      <c r="O4" s="3" t="inlineStr">
        <is>
          <t>Discount (%)</t>
        </is>
      </c>
      <c r="P4" s="4" t="inlineStr">
        <is>
          <t>Net Price</t>
        </is>
      </c>
      <c r="Q4" s="3" t="inlineStr">
        <is>
          <t>Price Status</t>
        </is>
      </c>
      <c r="R4" s="4" t="inlineStr">
        <is>
          <t>Availability / Lead Time Details</t>
        </is>
      </c>
      <c r="S4" s="4" t="inlineStr">
        <is>
          <t>Installation / Mounting Type</t>
        </is>
      </c>
      <c r="T4" s="4" t="inlineStr">
        <is>
          <t>Standards / Compliance</t>
        </is>
      </c>
      <c r="U4" s="3" t="inlineStr">
        <is>
          <t>Catalogue Page Reference</t>
        </is>
      </c>
    </row>
    <row r="5" ht="20" customHeight="1">
      <c r="A5" s="6" t="inlineStr">
        <is>
          <t>Ring Main Unit (RMU)</t>
        </is>
      </c>
      <c r="B5" s="6" t="inlineStr">
        <is>
          <t>Non-Extensible Secondary Switchgear</t>
        </is>
      </c>
      <c r="C5" s="6" t="inlineStr">
        <is>
          <t>Aegis Plus</t>
        </is>
      </c>
      <c r="D5" s="6" t="inlineStr">
        <is>
          <t>AGP-NE-LLF-12kV-IP41</t>
        </is>
      </c>
      <c r="E5" s="6" t="inlineStr">
        <is>
          <t>Aegis Plus LLF 12kV IP41</t>
        </is>
      </c>
      <c r="F5" s="6" t="inlineStr">
        <is>
          <t>3-Function Ring Main Unit (2x 630A Load Break Switches + 1x 200A Switch Fuse)</t>
        </is>
      </c>
      <c r="G5" s="5" t="inlineStr">
        <is>
          <t>12kV</t>
        </is>
      </c>
      <c r="H5" s="5" t="inlineStr">
        <is>
          <t>630A</t>
        </is>
      </c>
      <c r="I5" s="5" t="inlineStr">
        <is>
          <t>21kA 3s</t>
        </is>
      </c>
      <c r="J5" s="6" t="inlineStr">
        <is>
          <t>1050 x 785 x 1430 mm</t>
        </is>
      </c>
      <c r="K5" s="5" t="inlineStr">
        <is>
          <t>IP41 (Indoor)</t>
        </is>
      </c>
      <c r="L5" s="6" t="inlineStr">
        <is>
          <t>Dimensions: 1050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5" s="5" t="inlineStr">
        <is>
          <t>USD / Upon Request</t>
        </is>
      </c>
      <c r="N5" s="8" t="inlineStr">
        <is>
          <t>Upon request</t>
        </is>
      </c>
      <c r="O5" s="7" t="n"/>
      <c r="P5" s="8">
        <f>IF(ISNUMBER(N5),N5*(1-O5),N5)</f>
        <v/>
      </c>
      <c r="Q5" s="5" t="inlineStr">
        <is>
          <t>Upon request</t>
        </is>
      </c>
      <c r="R5" s="6" t="inlineStr">
        <is>
          <t>Manufactured to order (6-12 weeks)</t>
        </is>
      </c>
      <c r="S5" s="6" t="inlineStr">
        <is>
          <t>Floor Ground / Substation Plinth</t>
        </is>
      </c>
      <c r="T5" s="6" t="inlineStr">
        <is>
          <t>IEC 62271-100, IEC 62271-102, IEC 62271-103, IEC 62271-200</t>
        </is>
      </c>
      <c r="U5" s="5" t="inlineStr">
        <is>
          <t>Page 10</t>
        </is>
      </c>
    </row>
    <row r="6" ht="20" customHeight="1">
      <c r="A6" s="10" t="inlineStr">
        <is>
          <t>Ring Main Unit (RMU)</t>
        </is>
      </c>
      <c r="B6" s="10" t="inlineStr">
        <is>
          <t>Non-Extensible Secondary Switchgear</t>
        </is>
      </c>
      <c r="C6" s="10" t="inlineStr">
        <is>
          <t>Aegis Plus</t>
        </is>
      </c>
      <c r="D6" s="10" t="inlineStr">
        <is>
          <t>AGP-NE-LLF-24kV-IP41</t>
        </is>
      </c>
      <c r="E6" s="10" t="inlineStr">
        <is>
          <t>Aegis Plus LLF 24kV IP41</t>
        </is>
      </c>
      <c r="F6" s="10" t="inlineStr">
        <is>
          <t>3-Function Ring Main Unit (2x 630A Load Break Switches + 1x 200A Switch Fuse)</t>
        </is>
      </c>
      <c r="G6" s="9" t="inlineStr">
        <is>
          <t>24kV</t>
        </is>
      </c>
      <c r="H6" s="9" t="inlineStr">
        <is>
          <t>630A</t>
        </is>
      </c>
      <c r="I6" s="9" t="inlineStr">
        <is>
          <t>21kA 3s</t>
        </is>
      </c>
      <c r="J6" s="10" t="inlineStr">
        <is>
          <t>1050 x 785 x 1430 mm</t>
        </is>
      </c>
      <c r="K6" s="9" t="inlineStr">
        <is>
          <t>IP41 (Indoor)</t>
        </is>
      </c>
      <c r="L6" s="10" t="inlineStr">
        <is>
          <t>Dimensions: 1050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6" s="9" t="inlineStr">
        <is>
          <t>USD / Upon Request</t>
        </is>
      </c>
      <c r="N6" s="12" t="inlineStr">
        <is>
          <t>Upon request</t>
        </is>
      </c>
      <c r="O6" s="11" t="n"/>
      <c r="P6" s="12">
        <f>IF(ISNUMBER(N6),N6*(1-O6),N6)</f>
        <v/>
      </c>
      <c r="Q6" s="9" t="inlineStr">
        <is>
          <t>Upon request</t>
        </is>
      </c>
      <c r="R6" s="10" t="inlineStr">
        <is>
          <t>Manufactured to order (6-12 weeks)</t>
        </is>
      </c>
      <c r="S6" s="10" t="inlineStr">
        <is>
          <t>Floor Ground / Substation Plinth</t>
        </is>
      </c>
      <c r="T6" s="10" t="inlineStr">
        <is>
          <t>IEC 62271-100, IEC 62271-102, IEC 62271-103, IEC 62271-200</t>
        </is>
      </c>
      <c r="U6" s="9" t="inlineStr">
        <is>
          <t>Page 10</t>
        </is>
      </c>
    </row>
    <row r="7" ht="20" customHeight="1">
      <c r="A7" s="6" t="inlineStr">
        <is>
          <t>Ring Main Unit (RMU)</t>
        </is>
      </c>
      <c r="B7" s="6" t="inlineStr">
        <is>
          <t>Non-Extensible Secondary Switchgear</t>
        </is>
      </c>
      <c r="C7" s="6" t="inlineStr">
        <is>
          <t>Aegis Plus</t>
        </is>
      </c>
      <c r="D7" s="6" t="inlineStr">
        <is>
          <t>AGP-NE-LLF-12kV-IP54</t>
        </is>
      </c>
      <c r="E7" s="6" t="inlineStr">
        <is>
          <t>Aegis Plus LLF 12kV IP54</t>
        </is>
      </c>
      <c r="F7" s="6" t="inlineStr">
        <is>
          <t>3-Function Ring Main Unit (2x 630A Load Break Switches + 1x 200A Switch Fuse) - Outdoor</t>
        </is>
      </c>
      <c r="G7" s="5" t="inlineStr">
        <is>
          <t>12kV</t>
        </is>
      </c>
      <c r="H7" s="5" t="inlineStr">
        <is>
          <t>630A</t>
        </is>
      </c>
      <c r="I7" s="5" t="inlineStr">
        <is>
          <t>21kA 3s</t>
        </is>
      </c>
      <c r="J7" s="6" t="inlineStr">
        <is>
          <t>1050 x 785 x 1440 mm</t>
        </is>
      </c>
      <c r="K7" s="5" t="inlineStr">
        <is>
          <t>IP54 (Outdoor)</t>
        </is>
      </c>
      <c r="L7" s="6" t="inlineStr">
        <is>
          <t>Dimensions: 1050 x 785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7" s="5" t="inlineStr">
        <is>
          <t>USD / Upon Request</t>
        </is>
      </c>
      <c r="N7" s="8" t="inlineStr">
        <is>
          <t>Upon request</t>
        </is>
      </c>
      <c r="O7" s="7" t="n"/>
      <c r="P7" s="8">
        <f>IF(ISNUMBER(N7),N7*(1-O7),N7)</f>
        <v/>
      </c>
      <c r="Q7" s="5" t="inlineStr">
        <is>
          <t>Upon request</t>
        </is>
      </c>
      <c r="R7" s="6" t="inlineStr">
        <is>
          <t>Manufactured to order (6-12 weeks)</t>
        </is>
      </c>
      <c r="S7" s="6" t="inlineStr">
        <is>
          <t>Floor Ground / Substation Plinth</t>
        </is>
      </c>
      <c r="T7" s="6" t="inlineStr">
        <is>
          <t>IEC 62271-100, IEC 62271-102, IEC 62271-103, IEC 62271-200</t>
        </is>
      </c>
      <c r="U7" s="5" t="inlineStr">
        <is>
          <t>Page 10</t>
        </is>
      </c>
    </row>
    <row r="8" ht="20" customHeight="1">
      <c r="A8" s="10" t="inlineStr">
        <is>
          <t>Ring Main Unit (RMU)</t>
        </is>
      </c>
      <c r="B8" s="10" t="inlineStr">
        <is>
          <t>Non-Extensible Secondary Switchgear</t>
        </is>
      </c>
      <c r="C8" s="10" t="inlineStr">
        <is>
          <t>Aegis Plus</t>
        </is>
      </c>
      <c r="D8" s="10" t="inlineStr">
        <is>
          <t>AGP-NE-LLF-24kV-IP54</t>
        </is>
      </c>
      <c r="E8" s="10" t="inlineStr">
        <is>
          <t>Aegis Plus LLF 24kV IP54</t>
        </is>
      </c>
      <c r="F8" s="10" t="inlineStr">
        <is>
          <t>3-Function Ring Main Unit (2x 630A Load Break Switches + 1x 200A Switch Fuse) - Outdoor</t>
        </is>
      </c>
      <c r="G8" s="9" t="inlineStr">
        <is>
          <t>24kV</t>
        </is>
      </c>
      <c r="H8" s="9" t="inlineStr">
        <is>
          <t>630A</t>
        </is>
      </c>
      <c r="I8" s="9" t="inlineStr">
        <is>
          <t>21kA 3s</t>
        </is>
      </c>
      <c r="J8" s="10" t="inlineStr">
        <is>
          <t>1050 x 785 x 1440 mm</t>
        </is>
      </c>
      <c r="K8" s="9" t="inlineStr">
        <is>
          <t>IP54 (Outdoor)</t>
        </is>
      </c>
      <c r="L8" s="10" t="inlineStr">
        <is>
          <t>Dimensions: 1050 x 785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8" s="9" t="inlineStr">
        <is>
          <t>USD / Upon Request</t>
        </is>
      </c>
      <c r="N8" s="12" t="inlineStr">
        <is>
          <t>Upon request</t>
        </is>
      </c>
      <c r="O8" s="11" t="n"/>
      <c r="P8" s="12">
        <f>IF(ISNUMBER(N8),N8*(1-O8),N8)</f>
        <v/>
      </c>
      <c r="Q8" s="9" t="inlineStr">
        <is>
          <t>Upon request</t>
        </is>
      </c>
      <c r="R8" s="10" t="inlineStr">
        <is>
          <t>Manufactured to order (6-12 weeks)</t>
        </is>
      </c>
      <c r="S8" s="10" t="inlineStr">
        <is>
          <t>Floor Ground / Substation Plinth</t>
        </is>
      </c>
      <c r="T8" s="10" t="inlineStr">
        <is>
          <t>IEC 62271-100, IEC 62271-102, IEC 62271-103, IEC 62271-200</t>
        </is>
      </c>
      <c r="U8" s="9" t="inlineStr">
        <is>
          <t>Page 10</t>
        </is>
      </c>
    </row>
    <row r="9" ht="20" customHeight="1">
      <c r="A9" s="6" t="inlineStr">
        <is>
          <t>Ring Main Unit (RMU)</t>
        </is>
      </c>
      <c r="B9" s="6" t="inlineStr">
        <is>
          <t>Non-Extensible Secondary Switchgear</t>
        </is>
      </c>
      <c r="C9" s="6" t="inlineStr">
        <is>
          <t>Aegis Plus</t>
        </is>
      </c>
      <c r="D9" s="6" t="inlineStr">
        <is>
          <t>AGP-NE-LLV-12kV-IP41</t>
        </is>
      </c>
      <c r="E9" s="6" t="inlineStr">
        <is>
          <t>Aegis Plus LLV 12kV IP41</t>
        </is>
      </c>
      <c r="F9" s="6" t="inlineStr">
        <is>
          <t>3-Function Ring Main Unit (2x 630A Load Break Switches + 1x 630A Vacuum Circuit Breaker)</t>
        </is>
      </c>
      <c r="G9" s="5" t="inlineStr">
        <is>
          <t>12kV</t>
        </is>
      </c>
      <c r="H9" s="5" t="inlineStr">
        <is>
          <t>630A</t>
        </is>
      </c>
      <c r="I9" s="5" t="inlineStr">
        <is>
          <t>21kA 3s</t>
        </is>
      </c>
      <c r="J9" s="6" t="inlineStr">
        <is>
          <t>1050 x 715 x 1430 mm</t>
        </is>
      </c>
      <c r="K9" s="5" t="inlineStr">
        <is>
          <t>IP41 (Indoor)</t>
        </is>
      </c>
      <c r="L9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9" s="5" t="inlineStr">
        <is>
          <t>USD / Upon Request</t>
        </is>
      </c>
      <c r="N9" s="8" t="inlineStr">
        <is>
          <t>Upon request</t>
        </is>
      </c>
      <c r="O9" s="7" t="n"/>
      <c r="P9" s="8">
        <f>IF(ISNUMBER(N9),N9*(1-O9),N9)</f>
        <v/>
      </c>
      <c r="Q9" s="5" t="inlineStr">
        <is>
          <t>Upon request</t>
        </is>
      </c>
      <c r="R9" s="6" t="inlineStr">
        <is>
          <t>Manufactured to order (6-12 weeks)</t>
        </is>
      </c>
      <c r="S9" s="6" t="inlineStr">
        <is>
          <t>Floor Ground / Substation Plinth</t>
        </is>
      </c>
      <c r="T9" s="6" t="inlineStr">
        <is>
          <t>IEC 62271-100, IEC 62271-102, IEC 62271-103, IEC 62271-200</t>
        </is>
      </c>
      <c r="U9" s="5" t="inlineStr">
        <is>
          <t>Page 10</t>
        </is>
      </c>
    </row>
    <row r="10" ht="20" customHeight="1">
      <c r="A10" s="10" t="inlineStr">
        <is>
          <t>Ring Main Unit (RMU)</t>
        </is>
      </c>
      <c r="B10" s="10" t="inlineStr">
        <is>
          <t>Non-Extensible Secondary Switchgear</t>
        </is>
      </c>
      <c r="C10" s="10" t="inlineStr">
        <is>
          <t>Aegis Plus</t>
        </is>
      </c>
      <c r="D10" s="10" t="inlineStr">
        <is>
          <t>AGP-NE-LLV-17.5kV-IP41</t>
        </is>
      </c>
      <c r="E10" s="10" t="inlineStr">
        <is>
          <t>Aegis Plus LLV 17.5kV IP41</t>
        </is>
      </c>
      <c r="F10" s="10" t="inlineStr">
        <is>
          <t>3-Function Ring Main Unit (2x 630A Load Break Switches + 1x 630A Vacuum Circuit Breaker)</t>
        </is>
      </c>
      <c r="G10" s="9" t="inlineStr">
        <is>
          <t>17.5kV</t>
        </is>
      </c>
      <c r="H10" s="9" t="inlineStr">
        <is>
          <t>630A</t>
        </is>
      </c>
      <c r="I10" s="9" t="inlineStr">
        <is>
          <t>21kA 3s</t>
        </is>
      </c>
      <c r="J10" s="10" t="inlineStr">
        <is>
          <t>1050 x 715 x 1430 mm</t>
        </is>
      </c>
      <c r="K10" s="9" t="inlineStr">
        <is>
          <t>IP41 (Indoor)</t>
        </is>
      </c>
      <c r="L10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0" s="9" t="inlineStr">
        <is>
          <t>USD / Upon Request</t>
        </is>
      </c>
      <c r="N10" s="12" t="inlineStr">
        <is>
          <t>Upon request</t>
        </is>
      </c>
      <c r="O10" s="11" t="n"/>
      <c r="P10" s="12">
        <f>IF(ISNUMBER(N10),N10*(1-O10),N10)</f>
        <v/>
      </c>
      <c r="Q10" s="9" t="inlineStr">
        <is>
          <t>Upon request</t>
        </is>
      </c>
      <c r="R10" s="10" t="inlineStr">
        <is>
          <t>Manufactured to order (6-12 weeks)</t>
        </is>
      </c>
      <c r="S10" s="10" t="inlineStr">
        <is>
          <t>Floor Ground / Substation Plinth</t>
        </is>
      </c>
      <c r="T10" s="10" t="inlineStr">
        <is>
          <t>IEC 62271-100, IEC 62271-102, IEC 62271-103, IEC 62271-200</t>
        </is>
      </c>
      <c r="U10" s="9" t="inlineStr">
        <is>
          <t>Page 10</t>
        </is>
      </c>
    </row>
    <row r="11" ht="20" customHeight="1">
      <c r="A11" s="6" t="inlineStr">
        <is>
          <t>Ring Main Unit (RMU)</t>
        </is>
      </c>
      <c r="B11" s="6" t="inlineStr">
        <is>
          <t>Non-Extensible Secondary Switchgear</t>
        </is>
      </c>
      <c r="C11" s="6" t="inlineStr">
        <is>
          <t>Aegis Plus</t>
        </is>
      </c>
      <c r="D11" s="6" t="inlineStr">
        <is>
          <t>AGP-NE-LLV-24kV-IP41</t>
        </is>
      </c>
      <c r="E11" s="6" t="inlineStr">
        <is>
          <t>Aegis Plus LLV 24kV IP41</t>
        </is>
      </c>
      <c r="F11" s="6" t="inlineStr">
        <is>
          <t>3-Function Ring Main Unit (2x 630A Load Break Switches + 1x 630A Vacuum Circuit Breaker)</t>
        </is>
      </c>
      <c r="G11" s="5" t="inlineStr">
        <is>
          <t>24kV</t>
        </is>
      </c>
      <c r="H11" s="5" t="inlineStr">
        <is>
          <t>630A</t>
        </is>
      </c>
      <c r="I11" s="5" t="inlineStr">
        <is>
          <t>21kA 3s</t>
        </is>
      </c>
      <c r="J11" s="6" t="inlineStr">
        <is>
          <t>1050 x 715 x 1430 mm</t>
        </is>
      </c>
      <c r="K11" s="5" t="inlineStr">
        <is>
          <t>IP41 (Indoor)</t>
        </is>
      </c>
      <c r="L11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1" s="5" t="inlineStr">
        <is>
          <t>USD / Upon Request</t>
        </is>
      </c>
      <c r="N11" s="8" t="inlineStr">
        <is>
          <t>Upon request</t>
        </is>
      </c>
      <c r="O11" s="7" t="n"/>
      <c r="P11" s="8">
        <f>IF(ISNUMBER(N11),N11*(1-O11),N11)</f>
        <v/>
      </c>
      <c r="Q11" s="5" t="inlineStr">
        <is>
          <t>Upon request</t>
        </is>
      </c>
      <c r="R11" s="6" t="inlineStr">
        <is>
          <t>Manufactured to order (6-12 weeks)</t>
        </is>
      </c>
      <c r="S11" s="6" t="inlineStr">
        <is>
          <t>Floor Ground / Substation Plinth</t>
        </is>
      </c>
      <c r="T11" s="6" t="inlineStr">
        <is>
          <t>IEC 62271-100, IEC 62271-102, IEC 62271-103, IEC 62271-200</t>
        </is>
      </c>
      <c r="U11" s="5" t="inlineStr">
        <is>
          <t>Page 10</t>
        </is>
      </c>
    </row>
    <row r="12" ht="20" customHeight="1">
      <c r="A12" s="10" t="inlineStr">
        <is>
          <t>Ring Main Unit (RMU)</t>
        </is>
      </c>
      <c r="B12" s="10" t="inlineStr">
        <is>
          <t>Non-Extensible Secondary Switchgear</t>
        </is>
      </c>
      <c r="C12" s="10" t="inlineStr">
        <is>
          <t>Aegis Plus</t>
        </is>
      </c>
      <c r="D12" s="10" t="inlineStr">
        <is>
          <t>AGP-NE-LLV-12kV-IP54</t>
        </is>
      </c>
      <c r="E12" s="10" t="inlineStr">
        <is>
          <t>Aegis Plus LLV 12kV IP54</t>
        </is>
      </c>
      <c r="F12" s="10" t="inlineStr">
        <is>
          <t>3-Function Ring Main Unit (2x 630A Load Break Switches + 1x 630A Vacuum Circuit Breaker) - Outdoor</t>
        </is>
      </c>
      <c r="G12" s="9" t="inlineStr">
        <is>
          <t>12kV</t>
        </is>
      </c>
      <c r="H12" s="9" t="inlineStr">
        <is>
          <t>630A</t>
        </is>
      </c>
      <c r="I12" s="9" t="inlineStr">
        <is>
          <t>21kA 3s</t>
        </is>
      </c>
      <c r="J12" s="10" t="inlineStr">
        <is>
          <t>1050 x 715 x 1440 mm</t>
        </is>
      </c>
      <c r="K12" s="9" t="inlineStr">
        <is>
          <t>IP54 (Outdoor)</t>
        </is>
      </c>
      <c r="L12" s="10" t="inlineStr">
        <is>
          <t>Dimensions: 1050 x 715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2" s="9" t="inlineStr">
        <is>
          <t>USD / Upon Request</t>
        </is>
      </c>
      <c r="N12" s="12" t="inlineStr">
        <is>
          <t>Upon request</t>
        </is>
      </c>
      <c r="O12" s="11" t="n"/>
      <c r="P12" s="12">
        <f>IF(ISNUMBER(N12),N12*(1-O12),N12)</f>
        <v/>
      </c>
      <c r="Q12" s="9" t="inlineStr">
        <is>
          <t>Upon request</t>
        </is>
      </c>
      <c r="R12" s="10" t="inlineStr">
        <is>
          <t>Manufactured to order (6-12 weeks)</t>
        </is>
      </c>
      <c r="S12" s="10" t="inlineStr">
        <is>
          <t>Floor Ground / Substation Plinth</t>
        </is>
      </c>
      <c r="T12" s="10" t="inlineStr">
        <is>
          <t>IEC 62271-100, IEC 62271-102, IEC 62271-103, IEC 62271-200</t>
        </is>
      </c>
      <c r="U12" s="9" t="inlineStr">
        <is>
          <t>Page 10</t>
        </is>
      </c>
    </row>
    <row r="13" ht="20" customHeight="1">
      <c r="A13" s="6" t="inlineStr">
        <is>
          <t>Ring Main Unit (RMU)</t>
        </is>
      </c>
      <c r="B13" s="6" t="inlineStr">
        <is>
          <t>Non-Extensible Secondary Switchgear</t>
        </is>
      </c>
      <c r="C13" s="6" t="inlineStr">
        <is>
          <t>Aegis Plus</t>
        </is>
      </c>
      <c r="D13" s="6" t="inlineStr">
        <is>
          <t>AGP-NE-LLV-24kV-IP54</t>
        </is>
      </c>
      <c r="E13" s="6" t="inlineStr">
        <is>
          <t>Aegis Plus LLV 24kV IP54</t>
        </is>
      </c>
      <c r="F13" s="6" t="inlineStr">
        <is>
          <t>3-Function Ring Main Unit (2x 630A Load Break Switches + 1x 630A Vacuum Circuit Breaker) - Outdoor</t>
        </is>
      </c>
      <c r="G13" s="5" t="inlineStr">
        <is>
          <t>24kV</t>
        </is>
      </c>
      <c r="H13" s="5" t="inlineStr">
        <is>
          <t>630A</t>
        </is>
      </c>
      <c r="I13" s="5" t="inlineStr">
        <is>
          <t>21kA 3s</t>
        </is>
      </c>
      <c r="J13" s="6" t="inlineStr">
        <is>
          <t>1050 x 715 x 1440 mm</t>
        </is>
      </c>
      <c r="K13" s="5" t="inlineStr">
        <is>
          <t>IP54 (Outdoor)</t>
        </is>
      </c>
      <c r="L13" s="6" t="inlineStr">
        <is>
          <t>Dimensions: 1050 x 715 x 1440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3" s="5" t="inlineStr">
        <is>
          <t>USD / Upon Request</t>
        </is>
      </c>
      <c r="N13" s="8" t="inlineStr">
        <is>
          <t>Upon request</t>
        </is>
      </c>
      <c r="O13" s="7" t="n"/>
      <c r="P13" s="8">
        <f>IF(ISNUMBER(N13),N13*(1-O13),N13)</f>
        <v/>
      </c>
      <c r="Q13" s="5" t="inlineStr">
        <is>
          <t>Upon request</t>
        </is>
      </c>
      <c r="R13" s="6" t="inlineStr">
        <is>
          <t>Manufactured to order (6-12 weeks)</t>
        </is>
      </c>
      <c r="S13" s="6" t="inlineStr">
        <is>
          <t>Floor Ground / Substation Plinth</t>
        </is>
      </c>
      <c r="T13" s="6" t="inlineStr">
        <is>
          <t>IEC 62271-100, IEC 62271-102, IEC 62271-103, IEC 62271-200</t>
        </is>
      </c>
      <c r="U13" s="5" t="inlineStr">
        <is>
          <t>Page 10</t>
        </is>
      </c>
    </row>
    <row r="14" ht="20" customHeight="1">
      <c r="A14" s="10" t="inlineStr">
        <is>
          <t>Ring Main Unit (RMU)</t>
        </is>
      </c>
      <c r="B14" s="10" t="inlineStr">
        <is>
          <t>Non-Extensible Secondary Switchgear</t>
        </is>
      </c>
      <c r="C14" s="10" t="inlineStr">
        <is>
          <t>Aegis Plus</t>
        </is>
      </c>
      <c r="D14" s="10" t="inlineStr">
        <is>
          <t>AGP-NE-LLT-12kV-IP41</t>
        </is>
      </c>
      <c r="E14" s="10" t="inlineStr">
        <is>
          <t>Aegis Plus LLT 12kV IP41</t>
        </is>
      </c>
      <c r="F14" s="10" t="inlineStr">
        <is>
          <t>3-Function Ring Main Unit (2x 630A Load Break Switches + 1x 250A Vacuum Circuit Breaker)</t>
        </is>
      </c>
      <c r="G14" s="9" t="inlineStr">
        <is>
          <t>12kV</t>
        </is>
      </c>
      <c r="H14" s="9" t="inlineStr">
        <is>
          <t>630A</t>
        </is>
      </c>
      <c r="I14" s="9" t="inlineStr">
        <is>
          <t>21kA 3s</t>
        </is>
      </c>
      <c r="J14" s="10" t="inlineStr">
        <is>
          <t>1050 x 715 x 1430 mm</t>
        </is>
      </c>
      <c r="K14" s="9" t="inlineStr">
        <is>
          <t>IP41 (Indoor)</t>
        </is>
      </c>
      <c r="L14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4" s="9" t="inlineStr">
        <is>
          <t>USD / Upon Request</t>
        </is>
      </c>
      <c r="N14" s="12" t="inlineStr">
        <is>
          <t>Upon request</t>
        </is>
      </c>
      <c r="O14" s="11" t="n"/>
      <c r="P14" s="12">
        <f>IF(ISNUMBER(N14),N14*(1-O14),N14)</f>
        <v/>
      </c>
      <c r="Q14" s="9" t="inlineStr">
        <is>
          <t>Upon request</t>
        </is>
      </c>
      <c r="R14" s="10" t="inlineStr">
        <is>
          <t>Manufactured to order (6-12 weeks)</t>
        </is>
      </c>
      <c r="S14" s="10" t="inlineStr">
        <is>
          <t>Floor Ground / Substation Plinth</t>
        </is>
      </c>
      <c r="T14" s="10" t="inlineStr">
        <is>
          <t>IEC 62271-100, IEC 62271-102, IEC 62271-103, IEC 62271-200</t>
        </is>
      </c>
      <c r="U14" s="9" t="inlineStr">
        <is>
          <t>Page 10</t>
        </is>
      </c>
    </row>
    <row r="15" ht="20" customHeight="1">
      <c r="A15" s="6" t="inlineStr">
        <is>
          <t>Ring Main Unit (RMU)</t>
        </is>
      </c>
      <c r="B15" s="6" t="inlineStr">
        <is>
          <t>Non-Extensible Secondary Switchgear</t>
        </is>
      </c>
      <c r="C15" s="6" t="inlineStr">
        <is>
          <t>Aegis Plus</t>
        </is>
      </c>
      <c r="D15" s="6" t="inlineStr">
        <is>
          <t>AGP-NE-LLT-24kV-IP41</t>
        </is>
      </c>
      <c r="E15" s="6" t="inlineStr">
        <is>
          <t>Aegis Plus LLT 24kV IP41</t>
        </is>
      </c>
      <c r="F15" s="6" t="inlineStr">
        <is>
          <t>3-Function Ring Main Unit (2x 630A Load Break Switches + 1x 250A Vacuum Circuit Breaker)</t>
        </is>
      </c>
      <c r="G15" s="5" t="inlineStr">
        <is>
          <t>24kV</t>
        </is>
      </c>
      <c r="H15" s="5" t="inlineStr">
        <is>
          <t>630A</t>
        </is>
      </c>
      <c r="I15" s="5" t="inlineStr">
        <is>
          <t>21kA 3s</t>
        </is>
      </c>
      <c r="J15" s="6" t="inlineStr">
        <is>
          <t>1050 x 715 x 1430 mm</t>
        </is>
      </c>
      <c r="K15" s="5" t="inlineStr">
        <is>
          <t>IP41 (Indoor)</t>
        </is>
      </c>
      <c r="L15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5" s="5" t="inlineStr">
        <is>
          <t>USD / Upon Request</t>
        </is>
      </c>
      <c r="N15" s="8" t="inlineStr">
        <is>
          <t>Upon request</t>
        </is>
      </c>
      <c r="O15" s="7" t="n"/>
      <c r="P15" s="8">
        <f>IF(ISNUMBER(N15),N15*(1-O15),N15)</f>
        <v/>
      </c>
      <c r="Q15" s="5" t="inlineStr">
        <is>
          <t>Upon request</t>
        </is>
      </c>
      <c r="R15" s="6" t="inlineStr">
        <is>
          <t>Manufactured to order (6-12 weeks)</t>
        </is>
      </c>
      <c r="S15" s="6" t="inlineStr">
        <is>
          <t>Floor Ground / Substation Plinth</t>
        </is>
      </c>
      <c r="T15" s="6" t="inlineStr">
        <is>
          <t>IEC 62271-100, IEC 62271-102, IEC 62271-103, IEC 62271-200</t>
        </is>
      </c>
      <c r="U15" s="5" t="inlineStr">
        <is>
          <t>Page 10</t>
        </is>
      </c>
    </row>
    <row r="16" ht="20" customHeight="1">
      <c r="A16" s="10" t="inlineStr">
        <is>
          <t>Ring Main Unit (RMU)</t>
        </is>
      </c>
      <c r="B16" s="10" t="inlineStr">
        <is>
          <t>Non-Extensible Secondary Switchgear</t>
        </is>
      </c>
      <c r="C16" s="10" t="inlineStr">
        <is>
          <t>Aegis Plus</t>
        </is>
      </c>
      <c r="D16" s="10" t="inlineStr">
        <is>
          <t>AGP-NE-LLC-12kV-IP41</t>
        </is>
      </c>
      <c r="E16" s="10" t="inlineStr">
        <is>
          <t>Aegis Plus LLC 12kV IP41</t>
        </is>
      </c>
      <c r="F16" s="10" t="inlineStr">
        <is>
          <t>3-Function Ring Main Unit (2x 630A Load Break Switches + 1x 630A Auto-Reclose VCB)</t>
        </is>
      </c>
      <c r="G16" s="9" t="inlineStr">
        <is>
          <t>12kV</t>
        </is>
      </c>
      <c r="H16" s="9" t="inlineStr">
        <is>
          <t>630A</t>
        </is>
      </c>
      <c r="I16" s="9" t="inlineStr">
        <is>
          <t>21kA 3s</t>
        </is>
      </c>
      <c r="J16" s="10" t="inlineStr">
        <is>
          <t>1050 x 715 x 1430 mm</t>
        </is>
      </c>
      <c r="K16" s="9" t="inlineStr">
        <is>
          <t>IP41 (Indoor)</t>
        </is>
      </c>
      <c r="L16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6" s="9" t="inlineStr">
        <is>
          <t>USD / Upon Request</t>
        </is>
      </c>
      <c r="N16" s="12" t="inlineStr">
        <is>
          <t>Upon request</t>
        </is>
      </c>
      <c r="O16" s="11" t="n"/>
      <c r="P16" s="12">
        <f>IF(ISNUMBER(N16),N16*(1-O16),N16)</f>
        <v/>
      </c>
      <c r="Q16" s="9" t="inlineStr">
        <is>
          <t>Upon request</t>
        </is>
      </c>
      <c r="R16" s="10" t="inlineStr">
        <is>
          <t>Manufactured to order (6-12 weeks)</t>
        </is>
      </c>
      <c r="S16" s="10" t="inlineStr">
        <is>
          <t>Floor Ground / Substation Plinth</t>
        </is>
      </c>
      <c r="T16" s="10" t="inlineStr">
        <is>
          <t>IEC 62271-100, IEC 62271-102, IEC 62271-103, IEC 62271-200</t>
        </is>
      </c>
      <c r="U16" s="9" t="inlineStr">
        <is>
          <t>Page 10</t>
        </is>
      </c>
    </row>
    <row r="17" ht="20" customHeight="1">
      <c r="A17" s="6" t="inlineStr">
        <is>
          <t>Ring Main Unit (RMU)</t>
        </is>
      </c>
      <c r="B17" s="6" t="inlineStr">
        <is>
          <t>Non-Extensible Secondary Switchgear</t>
        </is>
      </c>
      <c r="C17" s="6" t="inlineStr">
        <is>
          <t>Aegis Plus</t>
        </is>
      </c>
      <c r="D17" s="6" t="inlineStr">
        <is>
          <t>AGP-NE-LLC-24kV-IP41</t>
        </is>
      </c>
      <c r="E17" s="6" t="inlineStr">
        <is>
          <t>Aegis Plus LLC 24kV IP41</t>
        </is>
      </c>
      <c r="F17" s="6" t="inlineStr">
        <is>
          <t>3-Function Ring Main Unit (2x 630A Load Break Switches + 1x 630A Auto-Reclose VCB)</t>
        </is>
      </c>
      <c r="G17" s="5" t="inlineStr">
        <is>
          <t>24kV</t>
        </is>
      </c>
      <c r="H17" s="5" t="inlineStr">
        <is>
          <t>630A</t>
        </is>
      </c>
      <c r="I17" s="5" t="inlineStr">
        <is>
          <t>21kA 3s</t>
        </is>
      </c>
      <c r="J17" s="6" t="inlineStr">
        <is>
          <t>1050 x 715 x 1430 mm</t>
        </is>
      </c>
      <c r="K17" s="5" t="inlineStr">
        <is>
          <t>IP41 (Indoor)</t>
        </is>
      </c>
      <c r="L17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7" s="5" t="inlineStr">
        <is>
          <t>USD / Upon Request</t>
        </is>
      </c>
      <c r="N17" s="8" t="inlineStr">
        <is>
          <t>Upon request</t>
        </is>
      </c>
      <c r="O17" s="7" t="n"/>
      <c r="P17" s="8">
        <f>IF(ISNUMBER(N17),N17*(1-O17),N17)</f>
        <v/>
      </c>
      <c r="Q17" s="5" t="inlineStr">
        <is>
          <t>Upon request</t>
        </is>
      </c>
      <c r="R17" s="6" t="inlineStr">
        <is>
          <t>Manufactured to order (6-12 weeks)</t>
        </is>
      </c>
      <c r="S17" s="6" t="inlineStr">
        <is>
          <t>Floor Ground / Substation Plinth</t>
        </is>
      </c>
      <c r="T17" s="6" t="inlineStr">
        <is>
          <t>IEC 62271-100, IEC 62271-102, IEC 62271-103, IEC 62271-200</t>
        </is>
      </c>
      <c r="U17" s="5" t="inlineStr">
        <is>
          <t>Page 10</t>
        </is>
      </c>
    </row>
    <row r="18" ht="20" customHeight="1">
      <c r="A18" s="10" t="inlineStr">
        <is>
          <t>Ring Main Unit (RMU)</t>
        </is>
      </c>
      <c r="B18" s="10" t="inlineStr">
        <is>
          <t>Non-Extensible Secondary Switchgear</t>
        </is>
      </c>
      <c r="C18" s="10" t="inlineStr">
        <is>
          <t>Aegis Plus</t>
        </is>
      </c>
      <c r="D18" s="10" t="inlineStr">
        <is>
          <t>AGP-NE-LLL-12kV-IP41</t>
        </is>
      </c>
      <c r="E18" s="10" t="inlineStr">
        <is>
          <t>Aegis Plus LLL 12kV IP41</t>
        </is>
      </c>
      <c r="F18" s="10" t="inlineStr">
        <is>
          <t>3-Function Switch Unit (3x 630A Load Break Switches)</t>
        </is>
      </c>
      <c r="G18" s="9" t="inlineStr">
        <is>
          <t>12kV</t>
        </is>
      </c>
      <c r="H18" s="9" t="inlineStr">
        <is>
          <t>630A</t>
        </is>
      </c>
      <c r="I18" s="9" t="inlineStr">
        <is>
          <t>21kA 3s</t>
        </is>
      </c>
      <c r="J18" s="10" t="inlineStr">
        <is>
          <t>1050 x 715 x 1430 mm</t>
        </is>
      </c>
      <c r="K18" s="9" t="inlineStr">
        <is>
          <t>IP41 (Indoor)</t>
        </is>
      </c>
      <c r="L18" s="10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8" s="9" t="inlineStr">
        <is>
          <t>USD / Upon Request</t>
        </is>
      </c>
      <c r="N18" s="12" t="inlineStr">
        <is>
          <t>Upon request</t>
        </is>
      </c>
      <c r="O18" s="11" t="n"/>
      <c r="P18" s="12">
        <f>IF(ISNUMBER(N18),N18*(1-O18),N18)</f>
        <v/>
      </c>
      <c r="Q18" s="9" t="inlineStr">
        <is>
          <t>Upon request</t>
        </is>
      </c>
      <c r="R18" s="10" t="inlineStr">
        <is>
          <t>Manufactured to order (6-12 weeks)</t>
        </is>
      </c>
      <c r="S18" s="10" t="inlineStr">
        <is>
          <t>Floor Ground / Substation Plinth</t>
        </is>
      </c>
      <c r="T18" s="10" t="inlineStr">
        <is>
          <t>IEC 62271-100, IEC 62271-102, IEC 62271-103, IEC 62271-200</t>
        </is>
      </c>
      <c r="U18" s="9" t="inlineStr">
        <is>
          <t>Page 10</t>
        </is>
      </c>
    </row>
    <row r="19" ht="20" customHeight="1">
      <c r="A19" s="6" t="inlineStr">
        <is>
          <t>Ring Main Unit (RMU)</t>
        </is>
      </c>
      <c r="B19" s="6" t="inlineStr">
        <is>
          <t>Non-Extensible Secondary Switchgear</t>
        </is>
      </c>
      <c r="C19" s="6" t="inlineStr">
        <is>
          <t>Aegis Plus</t>
        </is>
      </c>
      <c r="D19" s="6" t="inlineStr">
        <is>
          <t>AGP-NE-LLL-24kV-IP41</t>
        </is>
      </c>
      <c r="E19" s="6" t="inlineStr">
        <is>
          <t>Aegis Plus LLL 24kV IP41</t>
        </is>
      </c>
      <c r="F19" s="6" t="inlineStr">
        <is>
          <t>3-Function Switch Unit (3x 630A Load Break Switches)</t>
        </is>
      </c>
      <c r="G19" s="5" t="inlineStr">
        <is>
          <t>24kV</t>
        </is>
      </c>
      <c r="H19" s="5" t="inlineStr">
        <is>
          <t>630A</t>
        </is>
      </c>
      <c r="I19" s="5" t="inlineStr">
        <is>
          <t>21kA 3s</t>
        </is>
      </c>
      <c r="J19" s="6" t="inlineStr">
        <is>
          <t>1050 x 715 x 1430 mm</t>
        </is>
      </c>
      <c r="K19" s="5" t="inlineStr">
        <is>
          <t>IP41 (Indoor)</t>
        </is>
      </c>
      <c r="L19" s="6" t="inlineStr">
        <is>
          <t>Dimensions: 1050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19" s="5" t="inlineStr">
        <is>
          <t>USD / Upon Request</t>
        </is>
      </c>
      <c r="N19" s="8" t="inlineStr">
        <is>
          <t>Upon request</t>
        </is>
      </c>
      <c r="O19" s="7" t="n"/>
      <c r="P19" s="8">
        <f>IF(ISNUMBER(N19),N19*(1-O19),N19)</f>
        <v/>
      </c>
      <c r="Q19" s="5" t="inlineStr">
        <is>
          <t>Upon request</t>
        </is>
      </c>
      <c r="R19" s="6" t="inlineStr">
        <is>
          <t>Manufactured to order (6-12 weeks)</t>
        </is>
      </c>
      <c r="S19" s="6" t="inlineStr">
        <is>
          <t>Floor Ground / Substation Plinth</t>
        </is>
      </c>
      <c r="T19" s="6" t="inlineStr">
        <is>
          <t>IEC 62271-100, IEC 62271-102, IEC 62271-103, IEC 62271-200</t>
        </is>
      </c>
      <c r="U19" s="5" t="inlineStr">
        <is>
          <t>Page 10</t>
        </is>
      </c>
    </row>
    <row r="20" ht="20" customHeight="1">
      <c r="A20" s="10" t="inlineStr">
        <is>
          <t>Ring Main Unit (RMU)</t>
        </is>
      </c>
      <c r="B20" s="10" t="inlineStr">
        <is>
          <t>Non-Extensible Secondary Switchgear</t>
        </is>
      </c>
      <c r="C20" s="10" t="inlineStr">
        <is>
          <t>Aegis Plus</t>
        </is>
      </c>
      <c r="D20" s="10" t="inlineStr">
        <is>
          <t>AGP-NE-LLLF-12kV-IP41</t>
        </is>
      </c>
      <c r="E20" s="10" t="inlineStr">
        <is>
          <t>Aegis Plus LLLF 12kV IP41</t>
        </is>
      </c>
      <c r="F20" s="10" t="inlineStr">
        <is>
          <t>4-Function Ring Main Unit (3x 630A Load Break Switches + 1x 200A Switch Fuse)</t>
        </is>
      </c>
      <c r="G20" s="9" t="inlineStr">
        <is>
          <t>12kV</t>
        </is>
      </c>
      <c r="H20" s="9" t="inlineStr">
        <is>
          <t>630A</t>
        </is>
      </c>
      <c r="I20" s="9" t="inlineStr">
        <is>
          <t>21kA 3s</t>
        </is>
      </c>
      <c r="J20" s="10" t="inlineStr">
        <is>
          <t>1395 x 785 x 1430 mm</t>
        </is>
      </c>
      <c r="K20" s="9" t="inlineStr">
        <is>
          <t>IP41 (Indoor)</t>
        </is>
      </c>
      <c r="L20" s="10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0" s="9" t="inlineStr">
        <is>
          <t>USD / Upon Request</t>
        </is>
      </c>
      <c r="N20" s="12" t="inlineStr">
        <is>
          <t>Upon request</t>
        </is>
      </c>
      <c r="O20" s="11" t="n"/>
      <c r="P20" s="12">
        <f>IF(ISNUMBER(N20),N20*(1-O20),N20)</f>
        <v/>
      </c>
      <c r="Q20" s="9" t="inlineStr">
        <is>
          <t>Upon request</t>
        </is>
      </c>
      <c r="R20" s="10" t="inlineStr">
        <is>
          <t>Manufactured to order (6-12 weeks)</t>
        </is>
      </c>
      <c r="S20" s="10" t="inlineStr">
        <is>
          <t>Floor Ground / Substation Plinth</t>
        </is>
      </c>
      <c r="T20" s="10" t="inlineStr">
        <is>
          <t>IEC 62271-100, IEC 62271-102, IEC 62271-103, IEC 62271-200</t>
        </is>
      </c>
      <c r="U20" s="9" t="inlineStr">
        <is>
          <t>Page 10</t>
        </is>
      </c>
    </row>
    <row r="21" ht="20" customHeight="1">
      <c r="A21" s="6" t="inlineStr">
        <is>
          <t>Ring Main Unit (RMU)</t>
        </is>
      </c>
      <c r="B21" s="6" t="inlineStr">
        <is>
          <t>Non-Extensible Secondary Switchgear</t>
        </is>
      </c>
      <c r="C21" s="6" t="inlineStr">
        <is>
          <t>Aegis Plus</t>
        </is>
      </c>
      <c r="D21" s="6" t="inlineStr">
        <is>
          <t>AGP-NE-LLLF-24kV-IP41</t>
        </is>
      </c>
      <c r="E21" s="6" t="inlineStr">
        <is>
          <t>Aegis Plus LLLF 24kV IP41</t>
        </is>
      </c>
      <c r="F21" s="6" t="inlineStr">
        <is>
          <t>4-Function Ring Main Unit (3x 630A Load Break Switches + 1x 200A Switch Fuse)</t>
        </is>
      </c>
      <c r="G21" s="5" t="inlineStr">
        <is>
          <t>24kV</t>
        </is>
      </c>
      <c r="H21" s="5" t="inlineStr">
        <is>
          <t>630A</t>
        </is>
      </c>
      <c r="I21" s="5" t="inlineStr">
        <is>
          <t>21kA 3s</t>
        </is>
      </c>
      <c r="J21" s="6" t="inlineStr">
        <is>
          <t>1395 x 785 x 1430 mm</t>
        </is>
      </c>
      <c r="K21" s="5" t="inlineStr">
        <is>
          <t>IP41 (Indoor)</t>
        </is>
      </c>
      <c r="L21" s="6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1" s="5" t="inlineStr">
        <is>
          <t>USD / Upon Request</t>
        </is>
      </c>
      <c r="N21" s="8" t="inlineStr">
        <is>
          <t>Upon request</t>
        </is>
      </c>
      <c r="O21" s="7" t="n"/>
      <c r="P21" s="8">
        <f>IF(ISNUMBER(N21),N21*(1-O21),N21)</f>
        <v/>
      </c>
      <c r="Q21" s="5" t="inlineStr">
        <is>
          <t>Upon request</t>
        </is>
      </c>
      <c r="R21" s="6" t="inlineStr">
        <is>
          <t>Manufactured to order (6-12 weeks)</t>
        </is>
      </c>
      <c r="S21" s="6" t="inlineStr">
        <is>
          <t>Floor Ground / Substation Plinth</t>
        </is>
      </c>
      <c r="T21" s="6" t="inlineStr">
        <is>
          <t>IEC 62271-100, IEC 62271-102, IEC 62271-103, IEC 62271-200</t>
        </is>
      </c>
      <c r="U21" s="5" t="inlineStr">
        <is>
          <t>Page 10</t>
        </is>
      </c>
    </row>
    <row r="22" ht="20" customHeight="1">
      <c r="A22" s="10" t="inlineStr">
        <is>
          <t>Ring Main Unit (RMU)</t>
        </is>
      </c>
      <c r="B22" s="10" t="inlineStr">
        <is>
          <t>Non-Extensible Secondary Switchgear</t>
        </is>
      </c>
      <c r="C22" s="10" t="inlineStr">
        <is>
          <t>Aegis Plus</t>
        </is>
      </c>
      <c r="D22" s="10" t="inlineStr">
        <is>
          <t>AGP-NE-LLLV-12kV-IP41</t>
        </is>
      </c>
      <c r="E22" s="10" t="inlineStr">
        <is>
          <t>Aegis Plus LLLV 12kV IP41</t>
        </is>
      </c>
      <c r="F22" s="10" t="inlineStr">
        <is>
          <t>4-Function Ring Main Unit (3x 630A Load Break Switches + 1x 630A Vacuum Circuit Breaker)</t>
        </is>
      </c>
      <c r="G22" s="9" t="inlineStr">
        <is>
          <t>12kV</t>
        </is>
      </c>
      <c r="H22" s="9" t="inlineStr">
        <is>
          <t>630A</t>
        </is>
      </c>
      <c r="I22" s="9" t="inlineStr">
        <is>
          <t>21kA 3s</t>
        </is>
      </c>
      <c r="J22" s="10" t="inlineStr">
        <is>
          <t>1395 x 715 x 1430 mm</t>
        </is>
      </c>
      <c r="K22" s="9" t="inlineStr">
        <is>
          <t>IP41 (Indoor)</t>
        </is>
      </c>
      <c r="L22" s="10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2" s="9" t="inlineStr">
        <is>
          <t>USD / Upon Request</t>
        </is>
      </c>
      <c r="N22" s="12" t="inlineStr">
        <is>
          <t>Upon request</t>
        </is>
      </c>
      <c r="O22" s="11" t="n"/>
      <c r="P22" s="12">
        <f>IF(ISNUMBER(N22),N22*(1-O22),N22)</f>
        <v/>
      </c>
      <c r="Q22" s="9" t="inlineStr">
        <is>
          <t>Upon request</t>
        </is>
      </c>
      <c r="R22" s="10" t="inlineStr">
        <is>
          <t>Manufactured to order (6-12 weeks)</t>
        </is>
      </c>
      <c r="S22" s="10" t="inlineStr">
        <is>
          <t>Floor Ground / Substation Plinth</t>
        </is>
      </c>
      <c r="T22" s="10" t="inlineStr">
        <is>
          <t>IEC 62271-100, IEC 62271-102, IEC 62271-103, IEC 62271-200</t>
        </is>
      </c>
      <c r="U22" s="9" t="inlineStr">
        <is>
          <t>Page 10</t>
        </is>
      </c>
    </row>
    <row r="23" ht="20" customHeight="1">
      <c r="A23" s="6" t="inlineStr">
        <is>
          <t>Ring Main Unit (RMU)</t>
        </is>
      </c>
      <c r="B23" s="6" t="inlineStr">
        <is>
          <t>Non-Extensible Secondary Switchgear</t>
        </is>
      </c>
      <c r="C23" s="6" t="inlineStr">
        <is>
          <t>Aegis Plus</t>
        </is>
      </c>
      <c r="D23" s="6" t="inlineStr">
        <is>
          <t>AGP-NE-LLLV-24kV-IP41</t>
        </is>
      </c>
      <c r="E23" s="6" t="inlineStr">
        <is>
          <t>Aegis Plus LLLV 24kV IP41</t>
        </is>
      </c>
      <c r="F23" s="6" t="inlineStr">
        <is>
          <t>4-Function Ring Main Unit (3x 630A Load Break Switches + 1x 630A Vacuum Circuit Breaker)</t>
        </is>
      </c>
      <c r="G23" s="5" t="inlineStr">
        <is>
          <t>24kV</t>
        </is>
      </c>
      <c r="H23" s="5" t="inlineStr">
        <is>
          <t>630A</t>
        </is>
      </c>
      <c r="I23" s="5" t="inlineStr">
        <is>
          <t>21kA 3s</t>
        </is>
      </c>
      <c r="J23" s="6" t="inlineStr">
        <is>
          <t>1395 x 715 x 1430 mm</t>
        </is>
      </c>
      <c r="K23" s="5" t="inlineStr">
        <is>
          <t>IP41 (Indoor)</t>
        </is>
      </c>
      <c r="L23" s="6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3" s="5" t="inlineStr">
        <is>
          <t>USD / Upon Request</t>
        </is>
      </c>
      <c r="N23" s="8" t="inlineStr">
        <is>
          <t>Upon request</t>
        </is>
      </c>
      <c r="O23" s="7" t="n"/>
      <c r="P23" s="8">
        <f>IF(ISNUMBER(N23),N23*(1-O23),N23)</f>
        <v/>
      </c>
      <c r="Q23" s="5" t="inlineStr">
        <is>
          <t>Upon request</t>
        </is>
      </c>
      <c r="R23" s="6" t="inlineStr">
        <is>
          <t>Manufactured to order (6-12 weeks)</t>
        </is>
      </c>
      <c r="S23" s="6" t="inlineStr">
        <is>
          <t>Floor Ground / Substation Plinth</t>
        </is>
      </c>
      <c r="T23" s="6" t="inlineStr">
        <is>
          <t>IEC 62271-100, IEC 62271-102, IEC 62271-103, IEC 62271-200</t>
        </is>
      </c>
      <c r="U23" s="5" t="inlineStr">
        <is>
          <t>Page 10</t>
        </is>
      </c>
    </row>
    <row r="24" ht="20" customHeight="1">
      <c r="A24" s="10" t="inlineStr">
        <is>
          <t>Ring Main Unit (RMU)</t>
        </is>
      </c>
      <c r="B24" s="10" t="inlineStr">
        <is>
          <t>Non-Extensible Secondary Switchgear</t>
        </is>
      </c>
      <c r="C24" s="10" t="inlineStr">
        <is>
          <t>Aegis Plus</t>
        </is>
      </c>
      <c r="D24" s="10" t="inlineStr">
        <is>
          <t>AGP-NE-LLLC-12kV-IP41</t>
        </is>
      </c>
      <c r="E24" s="10" t="inlineStr">
        <is>
          <t>Aegis Plus LLLC 12kV IP41</t>
        </is>
      </c>
      <c r="F24" s="10" t="inlineStr">
        <is>
          <t>4-Function Ring Main Unit (3x 630A Load Break Switches + 1x 630A Auto-Reclose VCB)</t>
        </is>
      </c>
      <c r="G24" s="9" t="inlineStr">
        <is>
          <t>12kV</t>
        </is>
      </c>
      <c r="H24" s="9" t="inlineStr">
        <is>
          <t>630A</t>
        </is>
      </c>
      <c r="I24" s="9" t="inlineStr">
        <is>
          <t>21kA 3s</t>
        </is>
      </c>
      <c r="J24" s="10" t="inlineStr">
        <is>
          <t>1395 x 715 x 1430 mm</t>
        </is>
      </c>
      <c r="K24" s="9" t="inlineStr">
        <is>
          <t>IP41 (Indoor)</t>
        </is>
      </c>
      <c r="L24" s="10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4" s="9" t="inlineStr">
        <is>
          <t>USD / Upon Request</t>
        </is>
      </c>
      <c r="N24" s="12" t="inlineStr">
        <is>
          <t>Upon request</t>
        </is>
      </c>
      <c r="O24" s="11" t="n"/>
      <c r="P24" s="12">
        <f>IF(ISNUMBER(N24),N24*(1-O24),N24)</f>
        <v/>
      </c>
      <c r="Q24" s="9" t="inlineStr">
        <is>
          <t>Upon request</t>
        </is>
      </c>
      <c r="R24" s="10" t="inlineStr">
        <is>
          <t>Manufactured to order (6-12 weeks)</t>
        </is>
      </c>
      <c r="S24" s="10" t="inlineStr">
        <is>
          <t>Floor Ground / Substation Plinth</t>
        </is>
      </c>
      <c r="T24" s="10" t="inlineStr">
        <is>
          <t>IEC 62271-100, IEC 62271-102, IEC 62271-103, IEC 62271-200</t>
        </is>
      </c>
      <c r="U24" s="9" t="inlineStr">
        <is>
          <t>Page 10</t>
        </is>
      </c>
    </row>
    <row r="25" ht="20" customHeight="1">
      <c r="A25" s="6" t="inlineStr">
        <is>
          <t>Ring Main Unit (RMU)</t>
        </is>
      </c>
      <c r="B25" s="6" t="inlineStr">
        <is>
          <t>Non-Extensible Secondary Switchgear</t>
        </is>
      </c>
      <c r="C25" s="6" t="inlineStr">
        <is>
          <t>Aegis Plus</t>
        </is>
      </c>
      <c r="D25" s="6" t="inlineStr">
        <is>
          <t>AGP-NE-LLLC-24kV-IP41</t>
        </is>
      </c>
      <c r="E25" s="6" t="inlineStr">
        <is>
          <t>Aegis Plus LLLC 24kV IP41</t>
        </is>
      </c>
      <c r="F25" s="6" t="inlineStr">
        <is>
          <t>4-Function Ring Main Unit (3x 630A Load Break Switches + 1x 630A Auto-Reclose VCB)</t>
        </is>
      </c>
      <c r="G25" s="5" t="inlineStr">
        <is>
          <t>24kV</t>
        </is>
      </c>
      <c r="H25" s="5" t="inlineStr">
        <is>
          <t>630A</t>
        </is>
      </c>
      <c r="I25" s="5" t="inlineStr">
        <is>
          <t>21kA 3s</t>
        </is>
      </c>
      <c r="J25" s="6" t="inlineStr">
        <is>
          <t>1395 x 715 x 1430 mm</t>
        </is>
      </c>
      <c r="K25" s="5" t="inlineStr">
        <is>
          <t>IP41 (Indoor)</t>
        </is>
      </c>
      <c r="L25" s="6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5" s="5" t="inlineStr">
        <is>
          <t>USD / Upon Request</t>
        </is>
      </c>
      <c r="N25" s="8" t="inlineStr">
        <is>
          <t>Upon request</t>
        </is>
      </c>
      <c r="O25" s="7" t="n"/>
      <c r="P25" s="8">
        <f>IF(ISNUMBER(N25),N25*(1-O25),N25)</f>
        <v/>
      </c>
      <c r="Q25" s="5" t="inlineStr">
        <is>
          <t>Upon request</t>
        </is>
      </c>
      <c r="R25" s="6" t="inlineStr">
        <is>
          <t>Manufactured to order (6-12 weeks)</t>
        </is>
      </c>
      <c r="S25" s="6" t="inlineStr">
        <is>
          <t>Floor Ground / Substation Plinth</t>
        </is>
      </c>
      <c r="T25" s="6" t="inlineStr">
        <is>
          <t>IEC 62271-100, IEC 62271-102, IEC 62271-103, IEC 62271-200</t>
        </is>
      </c>
      <c r="U25" s="5" t="inlineStr">
        <is>
          <t>Page 10</t>
        </is>
      </c>
    </row>
    <row r="26" ht="20" customHeight="1">
      <c r="A26" s="10" t="inlineStr">
        <is>
          <t>Ring Main Unit (RMU)</t>
        </is>
      </c>
      <c r="B26" s="10" t="inlineStr">
        <is>
          <t>Non-Extensible Secondary Switchgear</t>
        </is>
      </c>
      <c r="C26" s="10" t="inlineStr">
        <is>
          <t>Aegis Plus</t>
        </is>
      </c>
      <c r="D26" s="10" t="inlineStr">
        <is>
          <t>AGP-NE-LLFF-12kV-IP41</t>
        </is>
      </c>
      <c r="E26" s="10" t="inlineStr">
        <is>
          <t>Aegis Plus LLFF 12kV IP41</t>
        </is>
      </c>
      <c r="F26" s="10" t="inlineStr">
        <is>
          <t>4-Function Ring Main Unit (2x 630A Load Break Switches + 2x 200A Switch Fuses)</t>
        </is>
      </c>
      <c r="G26" s="9" t="inlineStr">
        <is>
          <t>12kV</t>
        </is>
      </c>
      <c r="H26" s="9" t="inlineStr">
        <is>
          <t>630A</t>
        </is>
      </c>
      <c r="I26" s="9" t="inlineStr">
        <is>
          <t>21kA 3s</t>
        </is>
      </c>
      <c r="J26" s="10" t="inlineStr">
        <is>
          <t>1395 x 785 x 1430 mm</t>
        </is>
      </c>
      <c r="K26" s="9" t="inlineStr">
        <is>
          <t>IP41 (Indoor)</t>
        </is>
      </c>
      <c r="L26" s="10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6" s="9" t="inlineStr">
        <is>
          <t>USD / Upon Request</t>
        </is>
      </c>
      <c r="N26" s="12" t="inlineStr">
        <is>
          <t>Upon request</t>
        </is>
      </c>
      <c r="O26" s="11" t="n"/>
      <c r="P26" s="12">
        <f>IF(ISNUMBER(N26),N26*(1-O26),N26)</f>
        <v/>
      </c>
      <c r="Q26" s="9" t="inlineStr">
        <is>
          <t>Upon request</t>
        </is>
      </c>
      <c r="R26" s="10" t="inlineStr">
        <is>
          <t>Manufactured to order (6-12 weeks)</t>
        </is>
      </c>
      <c r="S26" s="10" t="inlineStr">
        <is>
          <t>Floor Ground / Substation Plinth</t>
        </is>
      </c>
      <c r="T26" s="10" t="inlineStr">
        <is>
          <t>IEC 62271-100, IEC 62271-102, IEC 62271-103, IEC 62271-200</t>
        </is>
      </c>
      <c r="U26" s="9" t="inlineStr">
        <is>
          <t>Page 10</t>
        </is>
      </c>
    </row>
    <row r="27" ht="20" customHeight="1">
      <c r="A27" s="6" t="inlineStr">
        <is>
          <t>Ring Main Unit (RMU)</t>
        </is>
      </c>
      <c r="B27" s="6" t="inlineStr">
        <is>
          <t>Non-Extensible Secondary Switchgear</t>
        </is>
      </c>
      <c r="C27" s="6" t="inlineStr">
        <is>
          <t>Aegis Plus</t>
        </is>
      </c>
      <c r="D27" s="6" t="inlineStr">
        <is>
          <t>AGP-NE-LLFF-24kV-IP41</t>
        </is>
      </c>
      <c r="E27" s="6" t="inlineStr">
        <is>
          <t>Aegis Plus LLFF 24kV IP41</t>
        </is>
      </c>
      <c r="F27" s="6" t="inlineStr">
        <is>
          <t>4-Function Ring Main Unit (2x 630A Load Break Switches + 2x 200A Switch Fuses)</t>
        </is>
      </c>
      <c r="G27" s="5" t="inlineStr">
        <is>
          <t>24kV</t>
        </is>
      </c>
      <c r="H27" s="5" t="inlineStr">
        <is>
          <t>630A</t>
        </is>
      </c>
      <c r="I27" s="5" t="inlineStr">
        <is>
          <t>21kA 3s</t>
        </is>
      </c>
      <c r="J27" s="6" t="inlineStr">
        <is>
          <t>1395 x 785 x 1430 mm</t>
        </is>
      </c>
      <c r="K27" s="5" t="inlineStr">
        <is>
          <t>IP41 (Indoor)</t>
        </is>
      </c>
      <c r="L27" s="6" t="inlineStr">
        <is>
          <t>Dimensions: 1395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7" s="5" t="inlineStr">
        <is>
          <t>USD / Upon Request</t>
        </is>
      </c>
      <c r="N27" s="8" t="inlineStr">
        <is>
          <t>Upon request</t>
        </is>
      </c>
      <c r="O27" s="7" t="n"/>
      <c r="P27" s="8">
        <f>IF(ISNUMBER(N27),N27*(1-O27),N27)</f>
        <v/>
      </c>
      <c r="Q27" s="5" t="inlineStr">
        <is>
          <t>Upon request</t>
        </is>
      </c>
      <c r="R27" s="6" t="inlineStr">
        <is>
          <t>Manufactured to order (6-12 weeks)</t>
        </is>
      </c>
      <c r="S27" s="6" t="inlineStr">
        <is>
          <t>Floor Ground / Substation Plinth</t>
        </is>
      </c>
      <c r="T27" s="6" t="inlineStr">
        <is>
          <t>IEC 62271-100, IEC 62271-102, IEC 62271-103, IEC 62271-200</t>
        </is>
      </c>
      <c r="U27" s="5" t="inlineStr">
        <is>
          <t>Page 10</t>
        </is>
      </c>
    </row>
    <row r="28" ht="20" customHeight="1">
      <c r="A28" s="10" t="inlineStr">
        <is>
          <t>Ring Main Unit (RMU)</t>
        </is>
      </c>
      <c r="B28" s="10" t="inlineStr">
        <is>
          <t>Non-Extensible Secondary Switchgear</t>
        </is>
      </c>
      <c r="C28" s="10" t="inlineStr">
        <is>
          <t>Aegis Plus</t>
        </is>
      </c>
      <c r="D28" s="10" t="inlineStr">
        <is>
          <t>AGP-NE-LLVV-12kV-IP41</t>
        </is>
      </c>
      <c r="E28" s="10" t="inlineStr">
        <is>
          <t>Aegis Plus LLVV 12kV IP41</t>
        </is>
      </c>
      <c r="F28" s="10" t="inlineStr">
        <is>
          <t>4-Function Ring Main Unit (2x 630A Load Break Switches + 2x 630A Vacuum Circuit Breakers)</t>
        </is>
      </c>
      <c r="G28" s="9" t="inlineStr">
        <is>
          <t>12kV</t>
        </is>
      </c>
      <c r="H28" s="9" t="inlineStr">
        <is>
          <t>630A</t>
        </is>
      </c>
      <c r="I28" s="9" t="inlineStr">
        <is>
          <t>21kA 3s</t>
        </is>
      </c>
      <c r="J28" s="10" t="inlineStr">
        <is>
          <t>1395 x 715 x 1430 mm</t>
        </is>
      </c>
      <c r="K28" s="9" t="inlineStr">
        <is>
          <t>IP41 (Indoor)</t>
        </is>
      </c>
      <c r="L28" s="10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8" s="9" t="inlineStr">
        <is>
          <t>USD / Upon Request</t>
        </is>
      </c>
      <c r="N28" s="12" t="inlineStr">
        <is>
          <t>Upon request</t>
        </is>
      </c>
      <c r="O28" s="11" t="n"/>
      <c r="P28" s="12">
        <f>IF(ISNUMBER(N28),N28*(1-O28),N28)</f>
        <v/>
      </c>
      <c r="Q28" s="9" t="inlineStr">
        <is>
          <t>Upon request</t>
        </is>
      </c>
      <c r="R28" s="10" t="inlineStr">
        <is>
          <t>Manufactured to order (6-12 weeks)</t>
        </is>
      </c>
      <c r="S28" s="10" t="inlineStr">
        <is>
          <t>Floor Ground / Substation Plinth</t>
        </is>
      </c>
      <c r="T28" s="10" t="inlineStr">
        <is>
          <t>IEC 62271-100, IEC 62271-102, IEC 62271-103, IEC 62271-200</t>
        </is>
      </c>
      <c r="U28" s="9" t="inlineStr">
        <is>
          <t>Page 10</t>
        </is>
      </c>
    </row>
    <row r="29" ht="20" customHeight="1">
      <c r="A29" s="6" t="inlineStr">
        <is>
          <t>Ring Main Unit (RMU)</t>
        </is>
      </c>
      <c r="B29" s="6" t="inlineStr">
        <is>
          <t>Non-Extensible Secondary Switchgear</t>
        </is>
      </c>
      <c r="C29" s="6" t="inlineStr">
        <is>
          <t>Aegis Plus</t>
        </is>
      </c>
      <c r="D29" s="6" t="inlineStr">
        <is>
          <t>AGP-NE-LLVV-24kV-IP41</t>
        </is>
      </c>
      <c r="E29" s="6" t="inlineStr">
        <is>
          <t>Aegis Plus LLVV 24kV IP41</t>
        </is>
      </c>
      <c r="F29" s="6" t="inlineStr">
        <is>
          <t>4-Function Ring Main Unit (2x 630A Load Break Switches + 2x 630A Vacuum Circuit Breakers)</t>
        </is>
      </c>
      <c r="G29" s="5" t="inlineStr">
        <is>
          <t>24kV</t>
        </is>
      </c>
      <c r="H29" s="5" t="inlineStr">
        <is>
          <t>630A</t>
        </is>
      </c>
      <c r="I29" s="5" t="inlineStr">
        <is>
          <t>21kA 3s</t>
        </is>
      </c>
      <c r="J29" s="6" t="inlineStr">
        <is>
          <t>1395 x 715 x 1430 mm</t>
        </is>
      </c>
      <c r="K29" s="5" t="inlineStr">
        <is>
          <t>IP41 (Indoor)</t>
        </is>
      </c>
      <c r="L29" s="6" t="inlineStr">
        <is>
          <t>Dimensions: 1395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29" s="5" t="inlineStr">
        <is>
          <t>USD / Upon Request</t>
        </is>
      </c>
      <c r="N29" s="8" t="inlineStr">
        <is>
          <t>Upon request</t>
        </is>
      </c>
      <c r="O29" s="7" t="n"/>
      <c r="P29" s="8">
        <f>IF(ISNUMBER(N29),N29*(1-O29),N29)</f>
        <v/>
      </c>
      <c r="Q29" s="5" t="inlineStr">
        <is>
          <t>Upon request</t>
        </is>
      </c>
      <c r="R29" s="6" t="inlineStr">
        <is>
          <t>Manufactured to order (6-12 weeks)</t>
        </is>
      </c>
      <c r="S29" s="6" t="inlineStr">
        <is>
          <t>Floor Ground / Substation Plinth</t>
        </is>
      </c>
      <c r="T29" s="6" t="inlineStr">
        <is>
          <t>IEC 62271-100, IEC 62271-102, IEC 62271-103, IEC 62271-200</t>
        </is>
      </c>
      <c r="U29" s="5" t="inlineStr">
        <is>
          <t>Page 10</t>
        </is>
      </c>
    </row>
    <row r="30" ht="20" customHeight="1">
      <c r="A30" s="10" t="inlineStr">
        <is>
          <t>Ring Main Unit (RMU)</t>
        </is>
      </c>
      <c r="B30" s="10" t="inlineStr">
        <is>
          <t>Non-Extensible Secondary Switchgear</t>
        </is>
      </c>
      <c r="C30" s="10" t="inlineStr">
        <is>
          <t>Aegis Plus</t>
        </is>
      </c>
      <c r="D30" s="10" t="inlineStr">
        <is>
          <t>AGP-NE-LLLLF-12kV-IP41</t>
        </is>
      </c>
      <c r="E30" s="10" t="inlineStr">
        <is>
          <t>Aegis Plus LLLLF 12kV IP41</t>
        </is>
      </c>
      <c r="F30" s="10" t="inlineStr">
        <is>
          <t>5-Function Ring Main Unit (4x 630A Load Break Switches + 1x 200A Switch Fuse)</t>
        </is>
      </c>
      <c r="G30" s="9" t="inlineStr">
        <is>
          <t>12kV</t>
        </is>
      </c>
      <c r="H30" s="9" t="inlineStr">
        <is>
          <t>630A</t>
        </is>
      </c>
      <c r="I30" s="9" t="inlineStr">
        <is>
          <t>21kA 3s</t>
        </is>
      </c>
      <c r="J30" s="10" t="inlineStr">
        <is>
          <t>1735 x 785 x 1430 mm</t>
        </is>
      </c>
      <c r="K30" s="9" t="inlineStr">
        <is>
          <t>IP41 (Indoor)</t>
        </is>
      </c>
      <c r="L30" s="10" t="inlineStr">
        <is>
          <t>Dimensions: 1735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30" s="9" t="inlineStr">
        <is>
          <t>USD / Upon Request</t>
        </is>
      </c>
      <c r="N30" s="12" t="inlineStr">
        <is>
          <t>Upon request</t>
        </is>
      </c>
      <c r="O30" s="11" t="n"/>
      <c r="P30" s="12">
        <f>IF(ISNUMBER(N30),N30*(1-O30),N30)</f>
        <v/>
      </c>
      <c r="Q30" s="9" t="inlineStr">
        <is>
          <t>Upon request</t>
        </is>
      </c>
      <c r="R30" s="10" t="inlineStr">
        <is>
          <t>Manufactured to order (6-12 weeks)</t>
        </is>
      </c>
      <c r="S30" s="10" t="inlineStr">
        <is>
          <t>Floor Ground / Substation Plinth</t>
        </is>
      </c>
      <c r="T30" s="10" t="inlineStr">
        <is>
          <t>IEC 62271-100, IEC 62271-102, IEC 62271-103, IEC 62271-200</t>
        </is>
      </c>
      <c r="U30" s="9" t="inlineStr">
        <is>
          <t>Page 10</t>
        </is>
      </c>
    </row>
    <row r="31" ht="20" customHeight="1">
      <c r="A31" s="6" t="inlineStr">
        <is>
          <t>Ring Main Unit (RMU)</t>
        </is>
      </c>
      <c r="B31" s="6" t="inlineStr">
        <is>
          <t>Non-Extensible Secondary Switchgear</t>
        </is>
      </c>
      <c r="C31" s="6" t="inlineStr">
        <is>
          <t>Aegis Plus</t>
        </is>
      </c>
      <c r="D31" s="6" t="inlineStr">
        <is>
          <t>AGP-NE-LLLLF-24kV-IP41</t>
        </is>
      </c>
      <c r="E31" s="6" t="inlineStr">
        <is>
          <t>Aegis Plus LLLLF 24kV IP41</t>
        </is>
      </c>
      <c r="F31" s="6" t="inlineStr">
        <is>
          <t>5-Function Ring Main Unit (4x 630A Load Break Switches + 1x 200A Switch Fuse)</t>
        </is>
      </c>
      <c r="G31" s="5" t="inlineStr">
        <is>
          <t>24kV</t>
        </is>
      </c>
      <c r="H31" s="5" t="inlineStr">
        <is>
          <t>630A</t>
        </is>
      </c>
      <c r="I31" s="5" t="inlineStr">
        <is>
          <t>21kA 3s</t>
        </is>
      </c>
      <c r="J31" s="6" t="inlineStr">
        <is>
          <t>1735 x 785 x 1430 mm</t>
        </is>
      </c>
      <c r="K31" s="5" t="inlineStr">
        <is>
          <t>IP41 (Indoor)</t>
        </is>
      </c>
      <c r="L31" s="6" t="inlineStr">
        <is>
          <t>Dimensions: 1735 x 785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31" s="5" t="inlineStr">
        <is>
          <t>USD / Upon Request</t>
        </is>
      </c>
      <c r="N31" s="8" t="inlineStr">
        <is>
          <t>Upon request</t>
        </is>
      </c>
      <c r="O31" s="7" t="n"/>
      <c r="P31" s="8">
        <f>IF(ISNUMBER(N31),N31*(1-O31),N31)</f>
        <v/>
      </c>
      <c r="Q31" s="5" t="inlineStr">
        <is>
          <t>Upon request</t>
        </is>
      </c>
      <c r="R31" s="6" t="inlineStr">
        <is>
          <t>Manufactured to order (6-12 weeks)</t>
        </is>
      </c>
      <c r="S31" s="6" t="inlineStr">
        <is>
          <t>Floor Ground / Substation Plinth</t>
        </is>
      </c>
      <c r="T31" s="6" t="inlineStr">
        <is>
          <t>IEC 62271-100, IEC 62271-102, IEC 62271-103, IEC 62271-200</t>
        </is>
      </c>
      <c r="U31" s="5" t="inlineStr">
        <is>
          <t>Page 10</t>
        </is>
      </c>
    </row>
    <row r="32" ht="20" customHeight="1">
      <c r="A32" s="10" t="inlineStr">
        <is>
          <t>Ring Main Unit (RMU)</t>
        </is>
      </c>
      <c r="B32" s="10" t="inlineStr">
        <is>
          <t>Non-Extensible Secondary Switchgear</t>
        </is>
      </c>
      <c r="C32" s="10" t="inlineStr">
        <is>
          <t>Aegis Plus</t>
        </is>
      </c>
      <c r="D32" s="10" t="inlineStr">
        <is>
          <t>AGP-NE-LLLLV-12kV-IP41</t>
        </is>
      </c>
      <c r="E32" s="10" t="inlineStr">
        <is>
          <t>Aegis Plus LLLLV 12kV IP41</t>
        </is>
      </c>
      <c r="F32" s="10" t="inlineStr">
        <is>
          <t>5-Function Ring Main Unit (4x 630A Load Break Switches + 1x 630A Vacuum Circuit Breaker)</t>
        </is>
      </c>
      <c r="G32" s="9" t="inlineStr">
        <is>
          <t>12kV</t>
        </is>
      </c>
      <c r="H32" s="9" t="inlineStr">
        <is>
          <t>630A</t>
        </is>
      </c>
      <c r="I32" s="9" t="inlineStr">
        <is>
          <t>21kA 3s</t>
        </is>
      </c>
      <c r="J32" s="10" t="inlineStr">
        <is>
          <t>1735 x 715 x 1430 mm</t>
        </is>
      </c>
      <c r="K32" s="9" t="inlineStr">
        <is>
          <t>IP41 (Indoor)</t>
        </is>
      </c>
      <c r="L32" s="10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32" s="9" t="inlineStr">
        <is>
          <t>USD / Upon Request</t>
        </is>
      </c>
      <c r="N32" s="12" t="inlineStr">
        <is>
          <t>Upon request</t>
        </is>
      </c>
      <c r="O32" s="11" t="n"/>
      <c r="P32" s="12">
        <f>IF(ISNUMBER(N32),N32*(1-O32),N32)</f>
        <v/>
      </c>
      <c r="Q32" s="9" t="inlineStr">
        <is>
          <t>Upon request</t>
        </is>
      </c>
      <c r="R32" s="10" t="inlineStr">
        <is>
          <t>Manufactured to order (6-12 weeks)</t>
        </is>
      </c>
      <c r="S32" s="10" t="inlineStr">
        <is>
          <t>Floor Ground / Substation Plinth</t>
        </is>
      </c>
      <c r="T32" s="10" t="inlineStr">
        <is>
          <t>IEC 62271-100, IEC 62271-102, IEC 62271-103, IEC 62271-200</t>
        </is>
      </c>
      <c r="U32" s="9" t="inlineStr">
        <is>
          <t>Page 10</t>
        </is>
      </c>
    </row>
    <row r="33" ht="20" customHeight="1">
      <c r="A33" s="6" t="inlineStr">
        <is>
          <t>Ring Main Unit (RMU)</t>
        </is>
      </c>
      <c r="B33" s="6" t="inlineStr">
        <is>
          <t>Non-Extensible Secondary Switchgear</t>
        </is>
      </c>
      <c r="C33" s="6" t="inlineStr">
        <is>
          <t>Aegis Plus</t>
        </is>
      </c>
      <c r="D33" s="6" t="inlineStr">
        <is>
          <t>AGP-NE-LLLLV-24kV-IP41</t>
        </is>
      </c>
      <c r="E33" s="6" t="inlineStr">
        <is>
          <t>Aegis Plus LLLLV 24kV IP41</t>
        </is>
      </c>
      <c r="F33" s="6" t="inlineStr">
        <is>
          <t>5-Function Ring Main Unit (4x 630A Load Break Switches + 1x 630A Vacuum Circuit Breaker)</t>
        </is>
      </c>
      <c r="G33" s="5" t="inlineStr">
        <is>
          <t>24kV</t>
        </is>
      </c>
      <c r="H33" s="5" t="inlineStr">
        <is>
          <t>630A</t>
        </is>
      </c>
      <c r="I33" s="5" t="inlineStr">
        <is>
          <t>21kA 3s</t>
        </is>
      </c>
      <c r="J33" s="6" t="inlineStr">
        <is>
          <t>1735 x 715 x 1430 mm</t>
        </is>
      </c>
      <c r="K33" s="5" t="inlineStr">
        <is>
          <t>IP41 (Indoor)</t>
        </is>
      </c>
      <c r="L33" s="6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33" s="5" t="inlineStr">
        <is>
          <t>USD / Upon Request</t>
        </is>
      </c>
      <c r="N33" s="8" t="inlineStr">
        <is>
          <t>Upon request</t>
        </is>
      </c>
      <c r="O33" s="7" t="n"/>
      <c r="P33" s="8">
        <f>IF(ISNUMBER(N33),N33*(1-O33),N33)</f>
        <v/>
      </c>
      <c r="Q33" s="5" t="inlineStr">
        <is>
          <t>Upon request</t>
        </is>
      </c>
      <c r="R33" s="6" t="inlineStr">
        <is>
          <t>Manufactured to order (6-12 weeks)</t>
        </is>
      </c>
      <c r="S33" s="6" t="inlineStr">
        <is>
          <t>Floor Ground / Substation Plinth</t>
        </is>
      </c>
      <c r="T33" s="6" t="inlineStr">
        <is>
          <t>IEC 62271-100, IEC 62271-102, IEC 62271-103, IEC 62271-200</t>
        </is>
      </c>
      <c r="U33" s="5" t="inlineStr">
        <is>
          <t>Page 10</t>
        </is>
      </c>
    </row>
    <row r="34" ht="20" customHeight="1">
      <c r="A34" s="10" t="inlineStr">
        <is>
          <t>Ring Main Unit (RMU)</t>
        </is>
      </c>
      <c r="B34" s="10" t="inlineStr">
        <is>
          <t>Non-Extensible Secondary Switchgear</t>
        </is>
      </c>
      <c r="C34" s="10" t="inlineStr">
        <is>
          <t>Aegis Plus</t>
        </is>
      </c>
      <c r="D34" s="10" t="inlineStr">
        <is>
          <t>AGP-NE-LLLLC-12kV-IP41</t>
        </is>
      </c>
      <c r="E34" s="10" t="inlineStr">
        <is>
          <t>Aegis Plus LLLLC 12kV IP41</t>
        </is>
      </c>
      <c r="F34" s="10" t="inlineStr">
        <is>
          <t>5-Function Ring Main Unit (4x 630A Load Break Switches + 1x 630A Auto-Reclose VCB)</t>
        </is>
      </c>
      <c r="G34" s="9" t="inlineStr">
        <is>
          <t>12kV</t>
        </is>
      </c>
      <c r="H34" s="9" t="inlineStr">
        <is>
          <t>630A</t>
        </is>
      </c>
      <c r="I34" s="9" t="inlineStr">
        <is>
          <t>21kA 3s</t>
        </is>
      </c>
      <c r="J34" s="10" t="inlineStr">
        <is>
          <t>1735 x 715 x 1430 mm</t>
        </is>
      </c>
      <c r="K34" s="9" t="inlineStr">
        <is>
          <t>IP41 (Indoor)</t>
        </is>
      </c>
      <c r="L34" s="10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34" s="9" t="inlineStr">
        <is>
          <t>USD / Upon Request</t>
        </is>
      </c>
      <c r="N34" s="12" t="inlineStr">
        <is>
          <t>Upon request</t>
        </is>
      </c>
      <c r="O34" s="11" t="n"/>
      <c r="P34" s="12">
        <f>IF(ISNUMBER(N34),N34*(1-O34),N34)</f>
        <v/>
      </c>
      <c r="Q34" s="9" t="inlineStr">
        <is>
          <t>Upon request</t>
        </is>
      </c>
      <c r="R34" s="10" t="inlineStr">
        <is>
          <t>Manufactured to order (6-12 weeks)</t>
        </is>
      </c>
      <c r="S34" s="10" t="inlineStr">
        <is>
          <t>Floor Ground / Substation Plinth</t>
        </is>
      </c>
      <c r="T34" s="10" t="inlineStr">
        <is>
          <t>IEC 62271-100, IEC 62271-102, IEC 62271-103, IEC 62271-200</t>
        </is>
      </c>
      <c r="U34" s="9" t="inlineStr">
        <is>
          <t>Page 10</t>
        </is>
      </c>
    </row>
    <row r="35" ht="20" customHeight="1">
      <c r="A35" s="6" t="inlineStr">
        <is>
          <t>Ring Main Unit (RMU)</t>
        </is>
      </c>
      <c r="B35" s="6" t="inlineStr">
        <is>
          <t>Non-Extensible Secondary Switchgear</t>
        </is>
      </c>
      <c r="C35" s="6" t="inlineStr">
        <is>
          <t>Aegis Plus</t>
        </is>
      </c>
      <c r="D35" s="6" t="inlineStr">
        <is>
          <t>AGP-NE-LLLLC-24kV-IP41</t>
        </is>
      </c>
      <c r="E35" s="6" t="inlineStr">
        <is>
          <t>Aegis Plus LLLLC 24kV IP41</t>
        </is>
      </c>
      <c r="F35" s="6" t="inlineStr">
        <is>
          <t>5-Function Ring Main Unit (4x 630A Load Break Switches + 1x 630A Auto-Reclose VCB)</t>
        </is>
      </c>
      <c r="G35" s="5" t="inlineStr">
        <is>
          <t>24kV</t>
        </is>
      </c>
      <c r="H35" s="5" t="inlineStr">
        <is>
          <t>630A</t>
        </is>
      </c>
      <c r="I35" s="5" t="inlineStr">
        <is>
          <t>21kA 3s</t>
        </is>
      </c>
      <c r="J35" s="6" t="inlineStr">
        <is>
          <t>1735 x 715 x 1430 mm</t>
        </is>
      </c>
      <c r="K35" s="5" t="inlineStr">
        <is>
          <t>IP41 (Indoor)</t>
        </is>
      </c>
      <c r="L35" s="6" t="inlineStr">
        <is>
          <t>Dimensions: 1735 x 715 x 1430 mm; Hermetically sealed SF6 stainless steel tank IP67; Peak withstand: 52.5kA; Lightning impulse: 75/125kV; Power freq: 28/50kV; Internal arc: IAC AF/AFL/AFLR 20kA 1s; DIN 400 Type C bushings; Bushing height: 450/600/750mm; Operating pressure: 0.03 MPa</t>
        </is>
      </c>
      <c r="M35" s="5" t="inlineStr">
        <is>
          <t>USD / Upon Request</t>
        </is>
      </c>
      <c r="N35" s="8" t="inlineStr">
        <is>
          <t>Upon request</t>
        </is>
      </c>
      <c r="O35" s="7" t="n"/>
      <c r="P35" s="8">
        <f>IF(ISNUMBER(N35),N35*(1-O35),N35)</f>
        <v/>
      </c>
      <c r="Q35" s="5" t="inlineStr">
        <is>
          <t>Upon request</t>
        </is>
      </c>
      <c r="R35" s="6" t="inlineStr">
        <is>
          <t>Manufactured to order (6-12 weeks)</t>
        </is>
      </c>
      <c r="S35" s="6" t="inlineStr">
        <is>
          <t>Floor Ground / Substation Plinth</t>
        </is>
      </c>
      <c r="T35" s="6" t="inlineStr">
        <is>
          <t>IEC 62271-100, IEC 62271-102, IEC 62271-103, IEC 62271-200</t>
        </is>
      </c>
      <c r="U35" s="5" t="inlineStr">
        <is>
          <t>Page 10</t>
        </is>
      </c>
    </row>
    <row r="36" ht="20" customHeight="1">
      <c r="A36" s="10" t="inlineStr">
        <is>
          <t>Extensible RMU Modules</t>
        </is>
      </c>
      <c r="B36" s="10" t="inlineStr">
        <is>
          <t>Modular Extensible Switchgear</t>
        </is>
      </c>
      <c r="C36" s="10" t="inlineStr">
        <is>
          <t>Aegis Plus</t>
        </is>
      </c>
      <c r="D36" s="10" t="inlineStr">
        <is>
          <t>AGP-EXT-L-12kV</t>
        </is>
      </c>
      <c r="E36" s="10" t="inlineStr">
        <is>
          <t>Aegis Plus Extensible L 12kV</t>
        </is>
      </c>
      <c r="F36" s="10" t="inlineStr">
        <is>
          <t>Extensible Single Switching Module - Load Break Switch (630A, 3-position ON/OFF/Earth)</t>
        </is>
      </c>
      <c r="G36" s="9" t="inlineStr">
        <is>
          <t>12kV</t>
        </is>
      </c>
      <c r="H36" s="9" t="inlineStr">
        <is>
          <t>630A</t>
        </is>
      </c>
      <c r="I36" s="9" t="inlineStr">
        <is>
          <t>21kA 3s</t>
        </is>
      </c>
      <c r="J36" s="10" t="inlineStr">
        <is>
          <t>370 x 715 x 1430 mm</t>
        </is>
      </c>
      <c r="K36" s="9" t="inlineStr">
        <is>
          <t>IP41 / IP54</t>
        </is>
      </c>
      <c r="L36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36" s="9" t="inlineStr">
        <is>
          <t>USD / Upon Request</t>
        </is>
      </c>
      <c r="N36" s="12" t="inlineStr">
        <is>
          <t>Upon request</t>
        </is>
      </c>
      <c r="O36" s="11" t="n"/>
      <c r="P36" s="12">
        <f>IF(ISNUMBER(N36),N36*(1-O36),N36)</f>
        <v/>
      </c>
      <c r="Q36" s="9" t="inlineStr">
        <is>
          <t>Upon request</t>
        </is>
      </c>
      <c r="R36" s="10" t="inlineStr">
        <is>
          <t>Manufactured to order (6-12 weeks)</t>
        </is>
      </c>
      <c r="S36" s="10" t="inlineStr">
        <is>
          <t>Floor Ground / Coupled Assembly</t>
        </is>
      </c>
      <c r="T36" s="10" t="inlineStr">
        <is>
          <t>IEC 62271-100, IEC 62271-102, IEC 62271-103, IEC 62271-200</t>
        </is>
      </c>
      <c r="U36" s="9" t="inlineStr">
        <is>
          <t>Page 15</t>
        </is>
      </c>
    </row>
    <row r="37" ht="20" customHeight="1">
      <c r="A37" s="6" t="inlineStr">
        <is>
          <t>Extensible RMU Modules</t>
        </is>
      </c>
      <c r="B37" s="6" t="inlineStr">
        <is>
          <t>Modular Extensible Switchgear</t>
        </is>
      </c>
      <c r="C37" s="6" t="inlineStr">
        <is>
          <t>Aegis Plus</t>
        </is>
      </c>
      <c r="D37" s="6" t="inlineStr">
        <is>
          <t>AGP-EXT-L-24kV</t>
        </is>
      </c>
      <c r="E37" s="6" t="inlineStr">
        <is>
          <t>Aegis Plus Extensible L 24kV</t>
        </is>
      </c>
      <c r="F37" s="6" t="inlineStr">
        <is>
          <t>Extensible Single Switching Module - Load Break Switch (630A, 3-position ON/OFF/Earth)</t>
        </is>
      </c>
      <c r="G37" s="5" t="inlineStr">
        <is>
          <t>24kV</t>
        </is>
      </c>
      <c r="H37" s="5" t="inlineStr">
        <is>
          <t>630A</t>
        </is>
      </c>
      <c r="I37" s="5" t="inlineStr">
        <is>
          <t>21kA 3s</t>
        </is>
      </c>
      <c r="J37" s="6" t="inlineStr">
        <is>
          <t>370 x 715 x 1430 mm</t>
        </is>
      </c>
      <c r="K37" s="5" t="inlineStr">
        <is>
          <t>IP41 / IP54</t>
        </is>
      </c>
      <c r="L37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37" s="5" t="inlineStr">
        <is>
          <t>USD / Upon Request</t>
        </is>
      </c>
      <c r="N37" s="8" t="inlineStr">
        <is>
          <t>Upon request</t>
        </is>
      </c>
      <c r="O37" s="7" t="n"/>
      <c r="P37" s="8">
        <f>IF(ISNUMBER(N37),N37*(1-O37),N37)</f>
        <v/>
      </c>
      <c r="Q37" s="5" t="inlineStr">
        <is>
          <t>Upon request</t>
        </is>
      </c>
      <c r="R37" s="6" t="inlineStr">
        <is>
          <t>Manufactured to order (6-12 weeks)</t>
        </is>
      </c>
      <c r="S37" s="6" t="inlineStr">
        <is>
          <t>Floor Ground / Coupled Assembly</t>
        </is>
      </c>
      <c r="T37" s="6" t="inlineStr">
        <is>
          <t>IEC 62271-100, IEC 62271-102, IEC 62271-103, IEC 62271-200</t>
        </is>
      </c>
      <c r="U37" s="5" t="inlineStr">
        <is>
          <t>Page 15</t>
        </is>
      </c>
    </row>
    <row r="38" ht="20" customHeight="1">
      <c r="A38" s="10" t="inlineStr">
        <is>
          <t>Extensible RMU Modules</t>
        </is>
      </c>
      <c r="B38" s="10" t="inlineStr">
        <is>
          <t>Modular Extensible Switchgear</t>
        </is>
      </c>
      <c r="C38" s="10" t="inlineStr">
        <is>
          <t>Aegis Plus</t>
        </is>
      </c>
      <c r="D38" s="10" t="inlineStr">
        <is>
          <t>AGP-EXT-V-12kV</t>
        </is>
      </c>
      <c r="E38" s="10" t="inlineStr">
        <is>
          <t>Aegis Plus Extensible V 12kV</t>
        </is>
      </c>
      <c r="F38" s="10" t="inlineStr">
        <is>
          <t>Extensible Single Protection Module - Vacuum Circuit Breaker (630A Non-auto reclose)</t>
        </is>
      </c>
      <c r="G38" s="9" t="inlineStr">
        <is>
          <t>12kV</t>
        </is>
      </c>
      <c r="H38" s="9" t="inlineStr">
        <is>
          <t>630A</t>
        </is>
      </c>
      <c r="I38" s="9" t="inlineStr">
        <is>
          <t>21kA 3s</t>
        </is>
      </c>
      <c r="J38" s="10" t="inlineStr">
        <is>
          <t>370 x 715 x 1430 mm</t>
        </is>
      </c>
      <c r="K38" s="9" t="inlineStr">
        <is>
          <t>IP41 / IP54</t>
        </is>
      </c>
      <c r="L38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38" s="9" t="inlineStr">
        <is>
          <t>USD / Upon Request</t>
        </is>
      </c>
      <c r="N38" s="12" t="inlineStr">
        <is>
          <t>Upon request</t>
        </is>
      </c>
      <c r="O38" s="11" t="n"/>
      <c r="P38" s="12">
        <f>IF(ISNUMBER(N38),N38*(1-O38),N38)</f>
        <v/>
      </c>
      <c r="Q38" s="9" t="inlineStr">
        <is>
          <t>Upon request</t>
        </is>
      </c>
      <c r="R38" s="10" t="inlineStr">
        <is>
          <t>Manufactured to order (6-12 weeks)</t>
        </is>
      </c>
      <c r="S38" s="10" t="inlineStr">
        <is>
          <t>Floor Ground / Coupled Assembly</t>
        </is>
      </c>
      <c r="T38" s="10" t="inlineStr">
        <is>
          <t>IEC 62271-100, IEC 62271-102, IEC 62271-103, IEC 62271-200</t>
        </is>
      </c>
      <c r="U38" s="9" t="inlineStr">
        <is>
          <t>Page 17</t>
        </is>
      </c>
    </row>
    <row r="39" ht="20" customHeight="1">
      <c r="A39" s="6" t="inlineStr">
        <is>
          <t>Extensible RMU Modules</t>
        </is>
      </c>
      <c r="B39" s="6" t="inlineStr">
        <is>
          <t>Modular Extensible Switchgear</t>
        </is>
      </c>
      <c r="C39" s="6" t="inlineStr">
        <is>
          <t>Aegis Plus</t>
        </is>
      </c>
      <c r="D39" s="6" t="inlineStr">
        <is>
          <t>AGP-EXT-V-24kV</t>
        </is>
      </c>
      <c r="E39" s="6" t="inlineStr">
        <is>
          <t>Aegis Plus Extensible V 24kV</t>
        </is>
      </c>
      <c r="F39" s="6" t="inlineStr">
        <is>
          <t>Extensible Single Protection Module - Vacuum Circuit Breaker (630A Non-auto reclose)</t>
        </is>
      </c>
      <c r="G39" s="5" t="inlineStr">
        <is>
          <t>24kV</t>
        </is>
      </c>
      <c r="H39" s="5" t="inlineStr">
        <is>
          <t>630A</t>
        </is>
      </c>
      <c r="I39" s="5" t="inlineStr">
        <is>
          <t>21kA 3s</t>
        </is>
      </c>
      <c r="J39" s="6" t="inlineStr">
        <is>
          <t>370 x 715 x 1430 mm</t>
        </is>
      </c>
      <c r="K39" s="5" t="inlineStr">
        <is>
          <t>IP41 / IP54</t>
        </is>
      </c>
      <c r="L39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39" s="5" t="inlineStr">
        <is>
          <t>USD / Upon Request</t>
        </is>
      </c>
      <c r="N39" s="8" t="inlineStr">
        <is>
          <t>Upon request</t>
        </is>
      </c>
      <c r="O39" s="7" t="n"/>
      <c r="P39" s="8">
        <f>IF(ISNUMBER(N39),N39*(1-O39),N39)</f>
        <v/>
      </c>
      <c r="Q39" s="5" t="inlineStr">
        <is>
          <t>Upon request</t>
        </is>
      </c>
      <c r="R39" s="6" t="inlineStr">
        <is>
          <t>Manufactured to order (6-12 weeks)</t>
        </is>
      </c>
      <c r="S39" s="6" t="inlineStr">
        <is>
          <t>Floor Ground / Coupled Assembly</t>
        </is>
      </c>
      <c r="T39" s="6" t="inlineStr">
        <is>
          <t>IEC 62271-100, IEC 62271-102, IEC 62271-103, IEC 62271-200</t>
        </is>
      </c>
      <c r="U39" s="5" t="inlineStr">
        <is>
          <t>Page 17</t>
        </is>
      </c>
    </row>
    <row r="40" ht="20" customHeight="1">
      <c r="A40" s="10" t="inlineStr">
        <is>
          <t>Extensible RMU Modules</t>
        </is>
      </c>
      <c r="B40" s="10" t="inlineStr">
        <is>
          <t>Modular Extensible Switchgear</t>
        </is>
      </c>
      <c r="C40" s="10" t="inlineStr">
        <is>
          <t>Aegis Plus</t>
        </is>
      </c>
      <c r="D40" s="10" t="inlineStr">
        <is>
          <t>AGP-EXT-T-12kV</t>
        </is>
      </c>
      <c r="E40" s="10" t="inlineStr">
        <is>
          <t>Aegis Plus Extensible T 12kV</t>
        </is>
      </c>
      <c r="F40" s="10" t="inlineStr">
        <is>
          <t>Extensible Single Protection Module - Vacuum Circuit Breaker (200A/250A Transformer Protection)</t>
        </is>
      </c>
      <c r="G40" s="9" t="inlineStr">
        <is>
          <t>12kV</t>
        </is>
      </c>
      <c r="H40" s="9" t="inlineStr">
        <is>
          <t>250A</t>
        </is>
      </c>
      <c r="I40" s="9" t="inlineStr">
        <is>
          <t>21kA 3s</t>
        </is>
      </c>
      <c r="J40" s="10" t="inlineStr">
        <is>
          <t>370 x 715 x 1430 mm</t>
        </is>
      </c>
      <c r="K40" s="9" t="inlineStr">
        <is>
          <t>IP41 / IP54</t>
        </is>
      </c>
      <c r="L40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0" s="9" t="inlineStr">
        <is>
          <t>USD / Upon Request</t>
        </is>
      </c>
      <c r="N40" s="12" t="inlineStr">
        <is>
          <t>Upon request</t>
        </is>
      </c>
      <c r="O40" s="11" t="n"/>
      <c r="P40" s="12">
        <f>IF(ISNUMBER(N40),N40*(1-O40),N40)</f>
        <v/>
      </c>
      <c r="Q40" s="9" t="inlineStr">
        <is>
          <t>Upon request</t>
        </is>
      </c>
      <c r="R40" s="10" t="inlineStr">
        <is>
          <t>Manufactured to order (6-12 weeks)</t>
        </is>
      </c>
      <c r="S40" s="10" t="inlineStr">
        <is>
          <t>Floor Ground / Coupled Assembly</t>
        </is>
      </c>
      <c r="T40" s="10" t="inlineStr">
        <is>
          <t>IEC 62271-100, IEC 62271-102, IEC 62271-103, IEC 62271-200</t>
        </is>
      </c>
      <c r="U40" s="9" t="inlineStr">
        <is>
          <t>Page 17</t>
        </is>
      </c>
    </row>
    <row r="41" ht="20" customHeight="1">
      <c r="A41" s="6" t="inlineStr">
        <is>
          <t>Extensible RMU Modules</t>
        </is>
      </c>
      <c r="B41" s="6" t="inlineStr">
        <is>
          <t>Modular Extensible Switchgear</t>
        </is>
      </c>
      <c r="C41" s="6" t="inlineStr">
        <is>
          <t>Aegis Plus</t>
        </is>
      </c>
      <c r="D41" s="6" t="inlineStr">
        <is>
          <t>AGP-EXT-T-24kV</t>
        </is>
      </c>
      <c r="E41" s="6" t="inlineStr">
        <is>
          <t>Aegis Plus Extensible T 24kV</t>
        </is>
      </c>
      <c r="F41" s="6" t="inlineStr">
        <is>
          <t>Extensible Single Protection Module - Vacuum Circuit Breaker (200A/250A Transformer Protection)</t>
        </is>
      </c>
      <c r="G41" s="5" t="inlineStr">
        <is>
          <t>24kV</t>
        </is>
      </c>
      <c r="H41" s="5" t="inlineStr">
        <is>
          <t>250A</t>
        </is>
      </c>
      <c r="I41" s="5" t="inlineStr">
        <is>
          <t>21kA 3s</t>
        </is>
      </c>
      <c r="J41" s="6" t="inlineStr">
        <is>
          <t>370 x 715 x 1430 mm</t>
        </is>
      </c>
      <c r="K41" s="5" t="inlineStr">
        <is>
          <t>IP41 / IP54</t>
        </is>
      </c>
      <c r="L41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1" s="5" t="inlineStr">
        <is>
          <t>USD / Upon Request</t>
        </is>
      </c>
      <c r="N41" s="8" t="inlineStr">
        <is>
          <t>Upon request</t>
        </is>
      </c>
      <c r="O41" s="7" t="n"/>
      <c r="P41" s="8">
        <f>IF(ISNUMBER(N41),N41*(1-O41),N41)</f>
        <v/>
      </c>
      <c r="Q41" s="5" t="inlineStr">
        <is>
          <t>Upon request</t>
        </is>
      </c>
      <c r="R41" s="6" t="inlineStr">
        <is>
          <t>Manufactured to order (6-12 weeks)</t>
        </is>
      </c>
      <c r="S41" s="6" t="inlineStr">
        <is>
          <t>Floor Ground / Coupled Assembly</t>
        </is>
      </c>
      <c r="T41" s="6" t="inlineStr">
        <is>
          <t>IEC 62271-100, IEC 62271-102, IEC 62271-103, IEC 62271-200</t>
        </is>
      </c>
      <c r="U41" s="5" t="inlineStr">
        <is>
          <t>Page 17</t>
        </is>
      </c>
    </row>
    <row r="42" ht="20" customHeight="1">
      <c r="A42" s="10" t="inlineStr">
        <is>
          <t>Extensible RMU Modules</t>
        </is>
      </c>
      <c r="B42" s="10" t="inlineStr">
        <is>
          <t>Modular Extensible Switchgear</t>
        </is>
      </c>
      <c r="C42" s="10" t="inlineStr">
        <is>
          <t>Aegis Plus</t>
        </is>
      </c>
      <c r="D42" s="10" t="inlineStr">
        <is>
          <t>AGP-EXT-C-12kV</t>
        </is>
      </c>
      <c r="E42" s="10" t="inlineStr">
        <is>
          <t>Aegis Plus Extensible C 12kV</t>
        </is>
      </c>
      <c r="F42" s="10" t="inlineStr">
        <is>
          <t>Extensible Single Protection Module - Vacuum Circuit Breaker (630A Auto Reclose Mechanism)</t>
        </is>
      </c>
      <c r="G42" s="9" t="inlineStr">
        <is>
          <t>12kV</t>
        </is>
      </c>
      <c r="H42" s="9" t="inlineStr">
        <is>
          <t>630A</t>
        </is>
      </c>
      <c r="I42" s="9" t="inlineStr">
        <is>
          <t>21kA 3s</t>
        </is>
      </c>
      <c r="J42" s="10" t="inlineStr">
        <is>
          <t>370 x 715 x 1430 mm</t>
        </is>
      </c>
      <c r="K42" s="9" t="inlineStr">
        <is>
          <t>IP41 / IP54</t>
        </is>
      </c>
      <c r="L42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2" s="9" t="inlineStr">
        <is>
          <t>USD / Upon Request</t>
        </is>
      </c>
      <c r="N42" s="12" t="inlineStr">
        <is>
          <t>Upon request</t>
        </is>
      </c>
      <c r="O42" s="11" t="n"/>
      <c r="P42" s="12">
        <f>IF(ISNUMBER(N42),N42*(1-O42),N42)</f>
        <v/>
      </c>
      <c r="Q42" s="9" t="inlineStr">
        <is>
          <t>Upon request</t>
        </is>
      </c>
      <c r="R42" s="10" t="inlineStr">
        <is>
          <t>Manufactured to order (6-12 weeks)</t>
        </is>
      </c>
      <c r="S42" s="10" t="inlineStr">
        <is>
          <t>Floor Ground / Coupled Assembly</t>
        </is>
      </c>
      <c r="T42" s="10" t="inlineStr">
        <is>
          <t>IEC 62271-100, IEC 62271-102, IEC 62271-103, IEC 62271-200</t>
        </is>
      </c>
      <c r="U42" s="9" t="inlineStr">
        <is>
          <t>Page 17</t>
        </is>
      </c>
    </row>
    <row r="43" ht="20" customHeight="1">
      <c r="A43" s="6" t="inlineStr">
        <is>
          <t>Extensible RMU Modules</t>
        </is>
      </c>
      <c r="B43" s="6" t="inlineStr">
        <is>
          <t>Modular Extensible Switchgear</t>
        </is>
      </c>
      <c r="C43" s="6" t="inlineStr">
        <is>
          <t>Aegis Plus</t>
        </is>
      </c>
      <c r="D43" s="6" t="inlineStr">
        <is>
          <t>AGP-EXT-C-24kV</t>
        </is>
      </c>
      <c r="E43" s="6" t="inlineStr">
        <is>
          <t>Aegis Plus Extensible C 24kV</t>
        </is>
      </c>
      <c r="F43" s="6" t="inlineStr">
        <is>
          <t>Extensible Single Protection Module - Vacuum Circuit Breaker (630A Auto Reclose Mechanism)</t>
        </is>
      </c>
      <c r="G43" s="5" t="inlineStr">
        <is>
          <t>24kV</t>
        </is>
      </c>
      <c r="H43" s="5" t="inlineStr">
        <is>
          <t>630A</t>
        </is>
      </c>
      <c r="I43" s="5" t="inlineStr">
        <is>
          <t>21kA 3s</t>
        </is>
      </c>
      <c r="J43" s="6" t="inlineStr">
        <is>
          <t>370 x 715 x 1430 mm</t>
        </is>
      </c>
      <c r="K43" s="5" t="inlineStr">
        <is>
          <t>IP41 / IP54</t>
        </is>
      </c>
      <c r="L43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3" s="5" t="inlineStr">
        <is>
          <t>USD / Upon Request</t>
        </is>
      </c>
      <c r="N43" s="8" t="inlineStr">
        <is>
          <t>Upon request</t>
        </is>
      </c>
      <c r="O43" s="7" t="n"/>
      <c r="P43" s="8">
        <f>IF(ISNUMBER(N43),N43*(1-O43),N43)</f>
        <v/>
      </c>
      <c r="Q43" s="5" t="inlineStr">
        <is>
          <t>Upon request</t>
        </is>
      </c>
      <c r="R43" s="6" t="inlineStr">
        <is>
          <t>Manufactured to order (6-12 weeks)</t>
        </is>
      </c>
      <c r="S43" s="6" t="inlineStr">
        <is>
          <t>Floor Ground / Coupled Assembly</t>
        </is>
      </c>
      <c r="T43" s="6" t="inlineStr">
        <is>
          <t>IEC 62271-100, IEC 62271-102, IEC 62271-103, IEC 62271-200</t>
        </is>
      </c>
      <c r="U43" s="5" t="inlineStr">
        <is>
          <t>Page 17</t>
        </is>
      </c>
    </row>
    <row r="44" ht="20" customHeight="1">
      <c r="A44" s="10" t="inlineStr">
        <is>
          <t>Extensible RMU Modules</t>
        </is>
      </c>
      <c r="B44" s="10" t="inlineStr">
        <is>
          <t>Modular Extensible Switchgear</t>
        </is>
      </c>
      <c r="C44" s="10" t="inlineStr">
        <is>
          <t>Aegis Plus</t>
        </is>
      </c>
      <c r="D44" s="10" t="inlineStr">
        <is>
          <t>AGP-EXT-F-12kV</t>
        </is>
      </c>
      <c r="E44" s="10" t="inlineStr">
        <is>
          <t>Aegis Plus Extensible F 12kV</t>
        </is>
      </c>
      <c r="F44" s="10" t="inlineStr">
        <is>
          <t>Extensible Single Protection Module - Switch Fuse Combination (200A Fused Switch)</t>
        </is>
      </c>
      <c r="G44" s="9" t="inlineStr">
        <is>
          <t>12kV</t>
        </is>
      </c>
      <c r="H44" s="9" t="inlineStr">
        <is>
          <t>200A</t>
        </is>
      </c>
      <c r="I44" s="9" t="inlineStr">
        <is>
          <t>21kA 3s</t>
        </is>
      </c>
      <c r="J44" s="10" t="inlineStr">
        <is>
          <t>370 x 785 x 1430 mm</t>
        </is>
      </c>
      <c r="K44" s="9" t="inlineStr">
        <is>
          <t>IP41 / IP54</t>
        </is>
      </c>
      <c r="L44" s="10" t="inlineStr">
        <is>
          <t>Dimensions: 370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4" s="9" t="inlineStr">
        <is>
          <t>USD / Upon Request</t>
        </is>
      </c>
      <c r="N44" s="12" t="inlineStr">
        <is>
          <t>Upon request</t>
        </is>
      </c>
      <c r="O44" s="11" t="n"/>
      <c r="P44" s="12">
        <f>IF(ISNUMBER(N44),N44*(1-O44),N44)</f>
        <v/>
      </c>
      <c r="Q44" s="9" t="inlineStr">
        <is>
          <t>Upon request</t>
        </is>
      </c>
      <c r="R44" s="10" t="inlineStr">
        <is>
          <t>Manufactured to order (6-12 weeks)</t>
        </is>
      </c>
      <c r="S44" s="10" t="inlineStr">
        <is>
          <t>Floor Ground / Coupled Assembly</t>
        </is>
      </c>
      <c r="T44" s="10" t="inlineStr">
        <is>
          <t>IEC 62271-100, IEC 62271-102, IEC 62271-103, IEC 62271-200</t>
        </is>
      </c>
      <c r="U44" s="9" t="inlineStr">
        <is>
          <t>Page 16</t>
        </is>
      </c>
    </row>
    <row r="45" ht="20" customHeight="1">
      <c r="A45" s="6" t="inlineStr">
        <is>
          <t>Extensible RMU Modules</t>
        </is>
      </c>
      <c r="B45" s="6" t="inlineStr">
        <is>
          <t>Modular Extensible Switchgear</t>
        </is>
      </c>
      <c r="C45" s="6" t="inlineStr">
        <is>
          <t>Aegis Plus</t>
        </is>
      </c>
      <c r="D45" s="6" t="inlineStr">
        <is>
          <t>AGP-EXT-F-24kV</t>
        </is>
      </c>
      <c r="E45" s="6" t="inlineStr">
        <is>
          <t>Aegis Plus Extensible F 24kV</t>
        </is>
      </c>
      <c r="F45" s="6" t="inlineStr">
        <is>
          <t>Extensible Single Protection Module - Switch Fuse Combination (200A Fused Switch)</t>
        </is>
      </c>
      <c r="G45" s="5" t="inlineStr">
        <is>
          <t>24kV</t>
        </is>
      </c>
      <c r="H45" s="5" t="inlineStr">
        <is>
          <t>200A</t>
        </is>
      </c>
      <c r="I45" s="5" t="inlineStr">
        <is>
          <t>21kA 3s</t>
        </is>
      </c>
      <c r="J45" s="6" t="inlineStr">
        <is>
          <t>370 x 785 x 1430 mm</t>
        </is>
      </c>
      <c r="K45" s="5" t="inlineStr">
        <is>
          <t>IP41 / IP54</t>
        </is>
      </c>
      <c r="L45" s="6" t="inlineStr">
        <is>
          <t>Dimensions: 370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5" s="5" t="inlineStr">
        <is>
          <t>USD / Upon Request</t>
        </is>
      </c>
      <c r="N45" s="8" t="inlineStr">
        <is>
          <t>Upon request</t>
        </is>
      </c>
      <c r="O45" s="7" t="n"/>
      <c r="P45" s="8">
        <f>IF(ISNUMBER(N45),N45*(1-O45),N45)</f>
        <v/>
      </c>
      <c r="Q45" s="5" t="inlineStr">
        <is>
          <t>Upon request</t>
        </is>
      </c>
      <c r="R45" s="6" t="inlineStr">
        <is>
          <t>Manufactured to order (6-12 weeks)</t>
        </is>
      </c>
      <c r="S45" s="6" t="inlineStr">
        <is>
          <t>Floor Ground / Coupled Assembly</t>
        </is>
      </c>
      <c r="T45" s="6" t="inlineStr">
        <is>
          <t>IEC 62271-100, IEC 62271-102, IEC 62271-103, IEC 62271-200</t>
        </is>
      </c>
      <c r="U45" s="5" t="inlineStr">
        <is>
          <t>Page 16</t>
        </is>
      </c>
    </row>
    <row r="46" ht="20" customHeight="1">
      <c r="A46" s="10" t="inlineStr">
        <is>
          <t>Extensible RMU Modules</t>
        </is>
      </c>
      <c r="B46" s="10" t="inlineStr">
        <is>
          <t>Modular Extensible Switchgear</t>
        </is>
      </c>
      <c r="C46" s="10" t="inlineStr">
        <is>
          <t>Aegis Plus</t>
        </is>
      </c>
      <c r="D46" s="10" t="inlineStr">
        <is>
          <t>AGP-EXT-SL-12kV</t>
        </is>
      </c>
      <c r="E46" s="10" t="inlineStr">
        <is>
          <t>Aegis Plus Extensible SL 12kV</t>
        </is>
      </c>
      <c r="F46" s="10" t="inlineStr">
        <is>
          <t>Extensible Busbar Sectionaliser Switch Module (630A, 3-position, Extensible Both Sides)</t>
        </is>
      </c>
      <c r="G46" s="9" t="inlineStr">
        <is>
          <t>12kV</t>
        </is>
      </c>
      <c r="H46" s="9" t="inlineStr">
        <is>
          <t>630A</t>
        </is>
      </c>
      <c r="I46" s="9" t="inlineStr">
        <is>
          <t>21kA 3s</t>
        </is>
      </c>
      <c r="J46" s="10" t="inlineStr">
        <is>
          <t>370 x 715 x 1430 mm</t>
        </is>
      </c>
      <c r="K46" s="9" t="inlineStr">
        <is>
          <t>IP41 / IP54</t>
        </is>
      </c>
      <c r="L46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6" s="9" t="inlineStr">
        <is>
          <t>USD / Upon Request</t>
        </is>
      </c>
      <c r="N46" s="12" t="inlineStr">
        <is>
          <t>Upon request</t>
        </is>
      </c>
      <c r="O46" s="11" t="n"/>
      <c r="P46" s="12">
        <f>IF(ISNUMBER(N46),N46*(1-O46),N46)</f>
        <v/>
      </c>
      <c r="Q46" s="9" t="inlineStr">
        <is>
          <t>Upon request</t>
        </is>
      </c>
      <c r="R46" s="10" t="inlineStr">
        <is>
          <t>Manufactured to order (6-12 weeks)</t>
        </is>
      </c>
      <c r="S46" s="10" t="inlineStr">
        <is>
          <t>Floor Ground / Coupled Assembly</t>
        </is>
      </c>
      <c r="T46" s="10" t="inlineStr">
        <is>
          <t>IEC 62271-100, IEC 62271-102, IEC 62271-103, IEC 62271-200</t>
        </is>
      </c>
      <c r="U46" s="9" t="inlineStr">
        <is>
          <t>Page 18</t>
        </is>
      </c>
    </row>
    <row r="47" ht="20" customHeight="1">
      <c r="A47" s="6" t="inlineStr">
        <is>
          <t>Extensible RMU Modules</t>
        </is>
      </c>
      <c r="B47" s="6" t="inlineStr">
        <is>
          <t>Modular Extensible Switchgear</t>
        </is>
      </c>
      <c r="C47" s="6" t="inlineStr">
        <is>
          <t>Aegis Plus</t>
        </is>
      </c>
      <c r="D47" s="6" t="inlineStr">
        <is>
          <t>AGP-EXT-SL-24kV</t>
        </is>
      </c>
      <c r="E47" s="6" t="inlineStr">
        <is>
          <t>Aegis Plus Extensible SL 24kV</t>
        </is>
      </c>
      <c r="F47" s="6" t="inlineStr">
        <is>
          <t>Extensible Busbar Sectionaliser Switch Module (630A, 3-position, Extensible Both Sides)</t>
        </is>
      </c>
      <c r="G47" s="5" t="inlineStr">
        <is>
          <t>24kV</t>
        </is>
      </c>
      <c r="H47" s="5" t="inlineStr">
        <is>
          <t>630A</t>
        </is>
      </c>
      <c r="I47" s="5" t="inlineStr">
        <is>
          <t>21kA 3s</t>
        </is>
      </c>
      <c r="J47" s="6" t="inlineStr">
        <is>
          <t>370 x 715 x 1430 mm</t>
        </is>
      </c>
      <c r="K47" s="5" t="inlineStr">
        <is>
          <t>IP41 / IP54</t>
        </is>
      </c>
      <c r="L47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7" s="5" t="inlineStr">
        <is>
          <t>USD / Upon Request</t>
        </is>
      </c>
      <c r="N47" s="8" t="inlineStr">
        <is>
          <t>Upon request</t>
        </is>
      </c>
      <c r="O47" s="7" t="n"/>
      <c r="P47" s="8">
        <f>IF(ISNUMBER(N47),N47*(1-O47),N47)</f>
        <v/>
      </c>
      <c r="Q47" s="5" t="inlineStr">
        <is>
          <t>Upon request</t>
        </is>
      </c>
      <c r="R47" s="6" t="inlineStr">
        <is>
          <t>Manufactured to order (6-12 weeks)</t>
        </is>
      </c>
      <c r="S47" s="6" t="inlineStr">
        <is>
          <t>Floor Ground / Coupled Assembly</t>
        </is>
      </c>
      <c r="T47" s="6" t="inlineStr">
        <is>
          <t>IEC 62271-100, IEC 62271-102, IEC 62271-103, IEC 62271-200</t>
        </is>
      </c>
      <c r="U47" s="5" t="inlineStr">
        <is>
          <t>Page 18</t>
        </is>
      </c>
    </row>
    <row r="48" ht="20" customHeight="1">
      <c r="A48" s="10" t="inlineStr">
        <is>
          <t>Extensible RMU Modules</t>
        </is>
      </c>
      <c r="B48" s="10" t="inlineStr">
        <is>
          <t>Modular Extensible Switchgear</t>
        </is>
      </c>
      <c r="C48" s="10" t="inlineStr">
        <is>
          <t>Aegis Plus</t>
        </is>
      </c>
      <c r="D48" s="10" t="inlineStr">
        <is>
          <t>AGP-EXT-SV-12kV</t>
        </is>
      </c>
      <c r="E48" s="10" t="inlineStr">
        <is>
          <t>Aegis Plus Extensible SV 12kV</t>
        </is>
      </c>
      <c r="F48" s="10" t="inlineStr">
        <is>
          <t>Extensible Busbar Sectionaliser Circuit Breaker Module (630A VCB, Extensible Both Sides)</t>
        </is>
      </c>
      <c r="G48" s="9" t="inlineStr">
        <is>
          <t>12kV</t>
        </is>
      </c>
      <c r="H48" s="9" t="inlineStr">
        <is>
          <t>630A</t>
        </is>
      </c>
      <c r="I48" s="9" t="inlineStr">
        <is>
          <t>21kA 3s</t>
        </is>
      </c>
      <c r="J48" s="10" t="inlineStr">
        <is>
          <t>370 x 715 x 1430 mm</t>
        </is>
      </c>
      <c r="K48" s="9" t="inlineStr">
        <is>
          <t>IP41 / IP54</t>
        </is>
      </c>
      <c r="L48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8" s="9" t="inlineStr">
        <is>
          <t>USD / Upon Request</t>
        </is>
      </c>
      <c r="N48" s="12" t="inlineStr">
        <is>
          <t>Upon request</t>
        </is>
      </c>
      <c r="O48" s="11" t="n"/>
      <c r="P48" s="12">
        <f>IF(ISNUMBER(N48),N48*(1-O48),N48)</f>
        <v/>
      </c>
      <c r="Q48" s="9" t="inlineStr">
        <is>
          <t>Upon request</t>
        </is>
      </c>
      <c r="R48" s="10" t="inlineStr">
        <is>
          <t>Manufactured to order (6-12 weeks)</t>
        </is>
      </c>
      <c r="S48" s="10" t="inlineStr">
        <is>
          <t>Floor Ground / Coupled Assembly</t>
        </is>
      </c>
      <c r="T48" s="10" t="inlineStr">
        <is>
          <t>IEC 62271-100, IEC 62271-102, IEC 62271-103, IEC 62271-200</t>
        </is>
      </c>
      <c r="U48" s="9" t="inlineStr">
        <is>
          <t>Page 19</t>
        </is>
      </c>
    </row>
    <row r="49" ht="20" customHeight="1">
      <c r="A49" s="6" t="inlineStr">
        <is>
          <t>Extensible RMU Modules</t>
        </is>
      </c>
      <c r="B49" s="6" t="inlineStr">
        <is>
          <t>Modular Extensible Switchgear</t>
        </is>
      </c>
      <c r="C49" s="6" t="inlineStr">
        <is>
          <t>Aegis Plus</t>
        </is>
      </c>
      <c r="D49" s="6" t="inlineStr">
        <is>
          <t>AGP-EXT-SV-24kV</t>
        </is>
      </c>
      <c r="E49" s="6" t="inlineStr">
        <is>
          <t>Aegis Plus Extensible SV 24kV</t>
        </is>
      </c>
      <c r="F49" s="6" t="inlineStr">
        <is>
          <t>Extensible Busbar Sectionaliser Circuit Breaker Module (630A VCB, Extensible Both Sides)</t>
        </is>
      </c>
      <c r="G49" s="5" t="inlineStr">
        <is>
          <t>24kV</t>
        </is>
      </c>
      <c r="H49" s="5" t="inlineStr">
        <is>
          <t>630A</t>
        </is>
      </c>
      <c r="I49" s="5" t="inlineStr">
        <is>
          <t>21kA 3s</t>
        </is>
      </c>
      <c r="J49" s="6" t="inlineStr">
        <is>
          <t>370 x 715 x 1430 mm</t>
        </is>
      </c>
      <c r="K49" s="5" t="inlineStr">
        <is>
          <t>IP41 / IP54</t>
        </is>
      </c>
      <c r="L49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49" s="5" t="inlineStr">
        <is>
          <t>USD / Upon Request</t>
        </is>
      </c>
      <c r="N49" s="8" t="inlineStr">
        <is>
          <t>Upon request</t>
        </is>
      </c>
      <c r="O49" s="7" t="n"/>
      <c r="P49" s="8">
        <f>IF(ISNUMBER(N49),N49*(1-O49),N49)</f>
        <v/>
      </c>
      <c r="Q49" s="5" t="inlineStr">
        <is>
          <t>Upon request</t>
        </is>
      </c>
      <c r="R49" s="6" t="inlineStr">
        <is>
          <t>Manufactured to order (6-12 weeks)</t>
        </is>
      </c>
      <c r="S49" s="6" t="inlineStr">
        <is>
          <t>Floor Ground / Coupled Assembly</t>
        </is>
      </c>
      <c r="T49" s="6" t="inlineStr">
        <is>
          <t>IEC 62271-100, IEC 62271-102, IEC 62271-103, IEC 62271-200</t>
        </is>
      </c>
      <c r="U49" s="5" t="inlineStr">
        <is>
          <t>Page 19</t>
        </is>
      </c>
    </row>
    <row r="50" ht="20" customHeight="1">
      <c r="A50" s="10" t="inlineStr">
        <is>
          <t>Extensible RMU Modules</t>
        </is>
      </c>
      <c r="B50" s="10" t="inlineStr">
        <is>
          <t>Modular Extensible Switchgear</t>
        </is>
      </c>
      <c r="C50" s="10" t="inlineStr">
        <is>
          <t>Aegis Plus</t>
        </is>
      </c>
      <c r="D50" s="10" t="inlineStr">
        <is>
          <t>AGP-EXT-R-12kV</t>
        </is>
      </c>
      <c r="E50" s="10" t="inlineStr">
        <is>
          <t>Aegis Plus Extensible R 12kV</t>
        </is>
      </c>
      <c r="F50" s="10" t="inlineStr">
        <is>
          <t>Extensible Direct Cable Connection Module (630A Incomer/Feeder Connection)</t>
        </is>
      </c>
      <c r="G50" s="9" t="inlineStr">
        <is>
          <t>12kV</t>
        </is>
      </c>
      <c r="H50" s="9" t="inlineStr">
        <is>
          <t>630A</t>
        </is>
      </c>
      <c r="I50" s="9" t="inlineStr">
        <is>
          <t>21kA 3s</t>
        </is>
      </c>
      <c r="J50" s="10" t="inlineStr">
        <is>
          <t>370 x 715 x 1430 mm</t>
        </is>
      </c>
      <c r="K50" s="9" t="inlineStr">
        <is>
          <t>IP41 / IP54</t>
        </is>
      </c>
      <c r="L50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0" s="9" t="inlineStr">
        <is>
          <t>USD / Upon Request</t>
        </is>
      </c>
      <c r="N50" s="12" t="inlineStr">
        <is>
          <t>Upon request</t>
        </is>
      </c>
      <c r="O50" s="11" t="n"/>
      <c r="P50" s="12">
        <f>IF(ISNUMBER(N50),N50*(1-O50),N50)</f>
        <v/>
      </c>
      <c r="Q50" s="9" t="inlineStr">
        <is>
          <t>Upon request</t>
        </is>
      </c>
      <c r="R50" s="10" t="inlineStr">
        <is>
          <t>Manufactured to order (6-12 weeks)</t>
        </is>
      </c>
      <c r="S50" s="10" t="inlineStr">
        <is>
          <t>Floor Ground / Coupled Assembly</t>
        </is>
      </c>
      <c r="T50" s="10" t="inlineStr">
        <is>
          <t>IEC 62271-100, IEC 62271-102, IEC 62271-103, IEC 62271-200</t>
        </is>
      </c>
      <c r="U50" s="9" t="inlineStr">
        <is>
          <t>Page 20</t>
        </is>
      </c>
    </row>
    <row r="51" ht="20" customHeight="1">
      <c r="A51" s="6" t="inlineStr">
        <is>
          <t>Extensible RMU Modules</t>
        </is>
      </c>
      <c r="B51" s="6" t="inlineStr">
        <is>
          <t>Modular Extensible Switchgear</t>
        </is>
      </c>
      <c r="C51" s="6" t="inlineStr">
        <is>
          <t>Aegis Plus</t>
        </is>
      </c>
      <c r="D51" s="6" t="inlineStr">
        <is>
          <t>AGP-EXT-R-24kV</t>
        </is>
      </c>
      <c r="E51" s="6" t="inlineStr">
        <is>
          <t>Aegis Plus Extensible R 24kV</t>
        </is>
      </c>
      <c r="F51" s="6" t="inlineStr">
        <is>
          <t>Extensible Direct Cable Connection Module (630A Incomer/Feeder Connection)</t>
        </is>
      </c>
      <c r="G51" s="5" t="inlineStr">
        <is>
          <t>24kV</t>
        </is>
      </c>
      <c r="H51" s="5" t="inlineStr">
        <is>
          <t>630A</t>
        </is>
      </c>
      <c r="I51" s="5" t="inlineStr">
        <is>
          <t>21kA 3s</t>
        </is>
      </c>
      <c r="J51" s="6" t="inlineStr">
        <is>
          <t>370 x 715 x 1430 mm</t>
        </is>
      </c>
      <c r="K51" s="5" t="inlineStr">
        <is>
          <t>IP41 / IP54</t>
        </is>
      </c>
      <c r="L51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1" s="5" t="inlineStr">
        <is>
          <t>USD / Upon Request</t>
        </is>
      </c>
      <c r="N51" s="8" t="inlineStr">
        <is>
          <t>Upon request</t>
        </is>
      </c>
      <c r="O51" s="7" t="n"/>
      <c r="P51" s="8">
        <f>IF(ISNUMBER(N51),N51*(1-O51),N51)</f>
        <v/>
      </c>
      <c r="Q51" s="5" t="inlineStr">
        <is>
          <t>Upon request</t>
        </is>
      </c>
      <c r="R51" s="6" t="inlineStr">
        <is>
          <t>Manufactured to order (6-12 weeks)</t>
        </is>
      </c>
      <c r="S51" s="6" t="inlineStr">
        <is>
          <t>Floor Ground / Coupled Assembly</t>
        </is>
      </c>
      <c r="T51" s="6" t="inlineStr">
        <is>
          <t>IEC 62271-100, IEC 62271-102, IEC 62271-103, IEC 62271-200</t>
        </is>
      </c>
      <c r="U51" s="5" t="inlineStr">
        <is>
          <t>Page 20</t>
        </is>
      </c>
    </row>
    <row r="52" ht="20" customHeight="1">
      <c r="A52" s="10" t="inlineStr">
        <is>
          <t>Extensible RMU Modules</t>
        </is>
      </c>
      <c r="B52" s="10" t="inlineStr">
        <is>
          <t>Modular Extensible Switchgear</t>
        </is>
      </c>
      <c r="C52" s="10" t="inlineStr">
        <is>
          <t>Aegis Plus</t>
        </is>
      </c>
      <c r="D52" s="10" t="inlineStr">
        <is>
          <t>AGP-EXT-Be-12kV</t>
        </is>
      </c>
      <c r="E52" s="10" t="inlineStr">
        <is>
          <t>Aegis Plus Extensible Be 12kV</t>
        </is>
      </c>
      <c r="F52" s="10" t="inlineStr">
        <is>
          <t>Extensible Busbar Earthing Switch Module (630A Earth Switch, Extensible Both Sides)</t>
        </is>
      </c>
      <c r="G52" s="9" t="inlineStr">
        <is>
          <t>12kV</t>
        </is>
      </c>
      <c r="H52" s="9" t="inlineStr">
        <is>
          <t>630A</t>
        </is>
      </c>
      <c r="I52" s="9" t="inlineStr">
        <is>
          <t>21kA 3s</t>
        </is>
      </c>
      <c r="J52" s="10" t="inlineStr">
        <is>
          <t>370 x 715 x 1430 mm</t>
        </is>
      </c>
      <c r="K52" s="9" t="inlineStr">
        <is>
          <t>IP41 / IP54</t>
        </is>
      </c>
      <c r="L52" s="10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2" s="9" t="inlineStr">
        <is>
          <t>USD / Upon Request</t>
        </is>
      </c>
      <c r="N52" s="12" t="inlineStr">
        <is>
          <t>Upon request</t>
        </is>
      </c>
      <c r="O52" s="11" t="n"/>
      <c r="P52" s="12">
        <f>IF(ISNUMBER(N52),N52*(1-O52),N52)</f>
        <v/>
      </c>
      <c r="Q52" s="9" t="inlineStr">
        <is>
          <t>Upon request</t>
        </is>
      </c>
      <c r="R52" s="10" t="inlineStr">
        <is>
          <t>Manufactured to order (6-12 weeks)</t>
        </is>
      </c>
      <c r="S52" s="10" t="inlineStr">
        <is>
          <t>Floor Ground / Coupled Assembly</t>
        </is>
      </c>
      <c r="T52" s="10" t="inlineStr">
        <is>
          <t>IEC 62271-100, IEC 62271-102, IEC 62271-103, IEC 62271-200</t>
        </is>
      </c>
      <c r="U52" s="9" t="inlineStr">
        <is>
          <t>Page 21</t>
        </is>
      </c>
    </row>
    <row r="53" ht="20" customHeight="1">
      <c r="A53" s="6" t="inlineStr">
        <is>
          <t>Extensible RMU Modules</t>
        </is>
      </c>
      <c r="B53" s="6" t="inlineStr">
        <is>
          <t>Modular Extensible Switchgear</t>
        </is>
      </c>
      <c r="C53" s="6" t="inlineStr">
        <is>
          <t>Aegis Plus</t>
        </is>
      </c>
      <c r="D53" s="6" t="inlineStr">
        <is>
          <t>AGP-EXT-Be-24kV</t>
        </is>
      </c>
      <c r="E53" s="6" t="inlineStr">
        <is>
          <t>Aegis Plus Extensible Be 24kV</t>
        </is>
      </c>
      <c r="F53" s="6" t="inlineStr">
        <is>
          <t>Extensible Busbar Earthing Switch Module (630A Earth Switch, Extensible Both Sides)</t>
        </is>
      </c>
      <c r="G53" s="5" t="inlineStr">
        <is>
          <t>24kV</t>
        </is>
      </c>
      <c r="H53" s="5" t="inlineStr">
        <is>
          <t>630A</t>
        </is>
      </c>
      <c r="I53" s="5" t="inlineStr">
        <is>
          <t>21kA 3s</t>
        </is>
      </c>
      <c r="J53" s="6" t="inlineStr">
        <is>
          <t>370 x 715 x 1430 mm</t>
        </is>
      </c>
      <c r="K53" s="5" t="inlineStr">
        <is>
          <t>IP41 / IP54</t>
        </is>
      </c>
      <c r="L53" s="6" t="inlineStr">
        <is>
          <t>Dimensions: 370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3" s="5" t="inlineStr">
        <is>
          <t>USD / Upon Request</t>
        </is>
      </c>
      <c r="N53" s="8" t="inlineStr">
        <is>
          <t>Upon request</t>
        </is>
      </c>
      <c r="O53" s="7" t="n"/>
      <c r="P53" s="8">
        <f>IF(ISNUMBER(N53),N53*(1-O53),N53)</f>
        <v/>
      </c>
      <c r="Q53" s="5" t="inlineStr">
        <is>
          <t>Upon request</t>
        </is>
      </c>
      <c r="R53" s="6" t="inlineStr">
        <is>
          <t>Manufactured to order (6-12 weeks)</t>
        </is>
      </c>
      <c r="S53" s="6" t="inlineStr">
        <is>
          <t>Floor Ground / Coupled Assembly</t>
        </is>
      </c>
      <c r="T53" s="6" t="inlineStr">
        <is>
          <t>IEC 62271-100, IEC 62271-102, IEC 62271-103, IEC 62271-200</t>
        </is>
      </c>
      <c r="U53" s="5" t="inlineStr">
        <is>
          <t>Page 21</t>
        </is>
      </c>
    </row>
    <row r="54" ht="20" customHeight="1">
      <c r="A54" s="10" t="inlineStr">
        <is>
          <t>Extensible RMU Modules</t>
        </is>
      </c>
      <c r="B54" s="10" t="inlineStr">
        <is>
          <t>Modular Extensible Switchgear</t>
        </is>
      </c>
      <c r="C54" s="10" t="inlineStr">
        <is>
          <t>Aegis Plus</t>
        </is>
      </c>
      <c r="D54" s="10" t="inlineStr">
        <is>
          <t>AGP-EXT-LL-Ext-12kV</t>
        </is>
      </c>
      <c r="E54" s="10" t="inlineStr">
        <is>
          <t>Aegis Plus Extensible LL-Ext 12kV</t>
        </is>
      </c>
      <c r="F54" s="10" t="inlineStr">
        <is>
          <t>2-Function Extensible RMU (2x 630A Load Break Switches)</t>
        </is>
      </c>
      <c r="G54" s="9" t="inlineStr">
        <is>
          <t>12kV</t>
        </is>
      </c>
      <c r="H54" s="9" t="inlineStr">
        <is>
          <t>630A</t>
        </is>
      </c>
      <c r="I54" s="9" t="inlineStr">
        <is>
          <t>21kA 3s</t>
        </is>
      </c>
      <c r="J54" s="10" t="inlineStr">
        <is>
          <t>710 x 715 x 1430 mm</t>
        </is>
      </c>
      <c r="K54" s="9" t="inlineStr">
        <is>
          <t>IP41 / IP54</t>
        </is>
      </c>
      <c r="L54" s="10" t="inlineStr">
        <is>
          <t>Dimensions: 710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4" s="9" t="inlineStr">
        <is>
          <t>USD / Upon Request</t>
        </is>
      </c>
      <c r="N54" s="12" t="inlineStr">
        <is>
          <t>Upon request</t>
        </is>
      </c>
      <c r="O54" s="11" t="n"/>
      <c r="P54" s="12">
        <f>IF(ISNUMBER(N54),N54*(1-O54),N54)</f>
        <v/>
      </c>
      <c r="Q54" s="9" t="inlineStr">
        <is>
          <t>Upon request</t>
        </is>
      </c>
      <c r="R54" s="10" t="inlineStr">
        <is>
          <t>Manufactured to order (6-12 weeks)</t>
        </is>
      </c>
      <c r="S54" s="10" t="inlineStr">
        <is>
          <t>Floor Ground / Coupled Assembly</t>
        </is>
      </c>
      <c r="T54" s="10" t="inlineStr">
        <is>
          <t>IEC 62271-100, IEC 62271-102, IEC 62271-103, IEC 62271-200</t>
        </is>
      </c>
      <c r="U54" s="9" t="inlineStr">
        <is>
          <t>Page 11</t>
        </is>
      </c>
    </row>
    <row r="55" ht="20" customHeight="1">
      <c r="A55" s="6" t="inlineStr">
        <is>
          <t>Extensible RMU Modules</t>
        </is>
      </c>
      <c r="B55" s="6" t="inlineStr">
        <is>
          <t>Modular Extensible Switchgear</t>
        </is>
      </c>
      <c r="C55" s="6" t="inlineStr">
        <is>
          <t>Aegis Plus</t>
        </is>
      </c>
      <c r="D55" s="6" t="inlineStr">
        <is>
          <t>AGP-EXT-LL-Ext-24kV</t>
        </is>
      </c>
      <c r="E55" s="6" t="inlineStr">
        <is>
          <t>Aegis Plus Extensible LL-Ext 24kV</t>
        </is>
      </c>
      <c r="F55" s="6" t="inlineStr">
        <is>
          <t>2-Function Extensible RMU (2x 630A Load Break Switches)</t>
        </is>
      </c>
      <c r="G55" s="5" t="inlineStr">
        <is>
          <t>24kV</t>
        </is>
      </c>
      <c r="H55" s="5" t="inlineStr">
        <is>
          <t>630A</t>
        </is>
      </c>
      <c r="I55" s="5" t="inlineStr">
        <is>
          <t>21kA 3s</t>
        </is>
      </c>
      <c r="J55" s="6" t="inlineStr">
        <is>
          <t>710 x 715 x 1430 mm</t>
        </is>
      </c>
      <c r="K55" s="5" t="inlineStr">
        <is>
          <t>IP41 / IP54</t>
        </is>
      </c>
      <c r="L55" s="6" t="inlineStr">
        <is>
          <t>Dimensions: 710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5" s="5" t="inlineStr">
        <is>
          <t>USD / Upon Request</t>
        </is>
      </c>
      <c r="N55" s="8" t="inlineStr">
        <is>
          <t>Upon request</t>
        </is>
      </c>
      <c r="O55" s="7" t="n"/>
      <c r="P55" s="8">
        <f>IF(ISNUMBER(N55),N55*(1-O55),N55)</f>
        <v/>
      </c>
      <c r="Q55" s="5" t="inlineStr">
        <is>
          <t>Upon request</t>
        </is>
      </c>
      <c r="R55" s="6" t="inlineStr">
        <is>
          <t>Manufactured to order (6-12 weeks)</t>
        </is>
      </c>
      <c r="S55" s="6" t="inlineStr">
        <is>
          <t>Floor Ground / Coupled Assembly</t>
        </is>
      </c>
      <c r="T55" s="6" t="inlineStr">
        <is>
          <t>IEC 62271-100, IEC 62271-102, IEC 62271-103, IEC 62271-200</t>
        </is>
      </c>
      <c r="U55" s="5" t="inlineStr">
        <is>
          <t>Page 11</t>
        </is>
      </c>
    </row>
    <row r="56" ht="20" customHeight="1">
      <c r="A56" s="10" t="inlineStr">
        <is>
          <t>Extensible RMU Modules</t>
        </is>
      </c>
      <c r="B56" s="10" t="inlineStr">
        <is>
          <t>Modular Extensible Switchgear</t>
        </is>
      </c>
      <c r="C56" s="10" t="inlineStr">
        <is>
          <t>Aegis Plus</t>
        </is>
      </c>
      <c r="D56" s="10" t="inlineStr">
        <is>
          <t>AGP-EXT-LLF-Ext-12kV</t>
        </is>
      </c>
      <c r="E56" s="10" t="inlineStr">
        <is>
          <t>Aegis Plus Extensible LLF-Ext 12kV</t>
        </is>
      </c>
      <c r="F56" s="10" t="inlineStr">
        <is>
          <t>3-Function Extensible RMU (2x 630A LBS + 1x 200A Switch Fuse)</t>
        </is>
      </c>
      <c r="G56" s="9" t="inlineStr">
        <is>
          <t>12kV</t>
        </is>
      </c>
      <c r="H56" s="9" t="inlineStr">
        <is>
          <t>630A</t>
        </is>
      </c>
      <c r="I56" s="9" t="inlineStr">
        <is>
          <t>21kA 3s</t>
        </is>
      </c>
      <c r="J56" s="10" t="inlineStr">
        <is>
          <t>1050 x 785 x 1430 mm</t>
        </is>
      </c>
      <c r="K56" s="9" t="inlineStr">
        <is>
          <t>IP41 / IP54</t>
        </is>
      </c>
      <c r="L56" s="10" t="inlineStr">
        <is>
          <t>Dimensions: 1050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6" s="9" t="inlineStr">
        <is>
          <t>USD / Upon Request</t>
        </is>
      </c>
      <c r="N56" s="12" t="inlineStr">
        <is>
          <t>Upon request</t>
        </is>
      </c>
      <c r="O56" s="11" t="n"/>
      <c r="P56" s="12">
        <f>IF(ISNUMBER(N56),N56*(1-O56),N56)</f>
        <v/>
      </c>
      <c r="Q56" s="9" t="inlineStr">
        <is>
          <t>Upon request</t>
        </is>
      </c>
      <c r="R56" s="10" t="inlineStr">
        <is>
          <t>Manufactured to order (6-12 weeks)</t>
        </is>
      </c>
      <c r="S56" s="10" t="inlineStr">
        <is>
          <t>Floor Ground / Coupled Assembly</t>
        </is>
      </c>
      <c r="T56" s="10" t="inlineStr">
        <is>
          <t>IEC 62271-100, IEC 62271-102, IEC 62271-103, IEC 62271-200</t>
        </is>
      </c>
      <c r="U56" s="9" t="inlineStr">
        <is>
          <t>Page 11</t>
        </is>
      </c>
    </row>
    <row r="57" ht="20" customHeight="1">
      <c r="A57" s="6" t="inlineStr">
        <is>
          <t>Extensible RMU Modules</t>
        </is>
      </c>
      <c r="B57" s="6" t="inlineStr">
        <is>
          <t>Modular Extensible Switchgear</t>
        </is>
      </c>
      <c r="C57" s="6" t="inlineStr">
        <is>
          <t>Aegis Plus</t>
        </is>
      </c>
      <c r="D57" s="6" t="inlineStr">
        <is>
          <t>AGP-EXT-LLF-Ext-24kV</t>
        </is>
      </c>
      <c r="E57" s="6" t="inlineStr">
        <is>
          <t>Aegis Plus Extensible LLF-Ext 24kV</t>
        </is>
      </c>
      <c r="F57" s="6" t="inlineStr">
        <is>
          <t>3-Function Extensible RMU (2x 630A LBS + 1x 200A Switch Fuse)</t>
        </is>
      </c>
      <c r="G57" s="5" t="inlineStr">
        <is>
          <t>24kV</t>
        </is>
      </c>
      <c r="H57" s="5" t="inlineStr">
        <is>
          <t>630A</t>
        </is>
      </c>
      <c r="I57" s="5" t="inlineStr">
        <is>
          <t>21kA 3s</t>
        </is>
      </c>
      <c r="J57" s="6" t="inlineStr">
        <is>
          <t>1050 x 785 x 1430 mm</t>
        </is>
      </c>
      <c r="K57" s="5" t="inlineStr">
        <is>
          <t>IP41 / IP54</t>
        </is>
      </c>
      <c r="L57" s="6" t="inlineStr">
        <is>
          <t>Dimensions: 1050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7" s="5" t="inlineStr">
        <is>
          <t>USD / Upon Request</t>
        </is>
      </c>
      <c r="N57" s="8" t="inlineStr">
        <is>
          <t>Upon request</t>
        </is>
      </c>
      <c r="O57" s="7" t="n"/>
      <c r="P57" s="8">
        <f>IF(ISNUMBER(N57),N57*(1-O57),N57)</f>
        <v/>
      </c>
      <c r="Q57" s="5" t="inlineStr">
        <is>
          <t>Upon request</t>
        </is>
      </c>
      <c r="R57" s="6" t="inlineStr">
        <is>
          <t>Manufactured to order (6-12 weeks)</t>
        </is>
      </c>
      <c r="S57" s="6" t="inlineStr">
        <is>
          <t>Floor Ground / Coupled Assembly</t>
        </is>
      </c>
      <c r="T57" s="6" t="inlineStr">
        <is>
          <t>IEC 62271-100, IEC 62271-102, IEC 62271-103, IEC 62271-200</t>
        </is>
      </c>
      <c r="U57" s="5" t="inlineStr">
        <is>
          <t>Page 11</t>
        </is>
      </c>
    </row>
    <row r="58" ht="20" customHeight="1">
      <c r="A58" s="10" t="inlineStr">
        <is>
          <t>Extensible RMU Modules</t>
        </is>
      </c>
      <c r="B58" s="10" t="inlineStr">
        <is>
          <t>Modular Extensible Switchgear</t>
        </is>
      </c>
      <c r="C58" s="10" t="inlineStr">
        <is>
          <t>Aegis Plus</t>
        </is>
      </c>
      <c r="D58" s="10" t="inlineStr">
        <is>
          <t>AGP-EXT-LLV-Ext-12kV</t>
        </is>
      </c>
      <c r="E58" s="10" t="inlineStr">
        <is>
          <t>Aegis Plus Extensible LLV-Ext 12kV</t>
        </is>
      </c>
      <c r="F58" s="10" t="inlineStr">
        <is>
          <t>3-Function Extensible RMU (2x 630A LBS + 1x 630A VCB)</t>
        </is>
      </c>
      <c r="G58" s="9" t="inlineStr">
        <is>
          <t>12kV</t>
        </is>
      </c>
      <c r="H58" s="9" t="inlineStr">
        <is>
          <t>630A</t>
        </is>
      </c>
      <c r="I58" s="9" t="inlineStr">
        <is>
          <t>21kA 3s</t>
        </is>
      </c>
      <c r="J58" s="10" t="inlineStr">
        <is>
          <t>1050 x 715 x 1430 mm</t>
        </is>
      </c>
      <c r="K58" s="9" t="inlineStr">
        <is>
          <t>IP41 / IP54</t>
        </is>
      </c>
      <c r="L58" s="10" t="inlineStr">
        <is>
          <t>Dimensions: 1050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8" s="9" t="inlineStr">
        <is>
          <t>USD / Upon Request</t>
        </is>
      </c>
      <c r="N58" s="12" t="inlineStr">
        <is>
          <t>Upon request</t>
        </is>
      </c>
      <c r="O58" s="11" t="n"/>
      <c r="P58" s="12">
        <f>IF(ISNUMBER(N58),N58*(1-O58),N58)</f>
        <v/>
      </c>
      <c r="Q58" s="9" t="inlineStr">
        <is>
          <t>Upon request</t>
        </is>
      </c>
      <c r="R58" s="10" t="inlineStr">
        <is>
          <t>Manufactured to order (6-12 weeks)</t>
        </is>
      </c>
      <c r="S58" s="10" t="inlineStr">
        <is>
          <t>Floor Ground / Coupled Assembly</t>
        </is>
      </c>
      <c r="T58" s="10" t="inlineStr">
        <is>
          <t>IEC 62271-100, IEC 62271-102, IEC 62271-103, IEC 62271-200</t>
        </is>
      </c>
      <c r="U58" s="9" t="inlineStr">
        <is>
          <t>Page 11</t>
        </is>
      </c>
    </row>
    <row r="59" ht="20" customHeight="1">
      <c r="A59" s="6" t="inlineStr">
        <is>
          <t>Extensible RMU Modules</t>
        </is>
      </c>
      <c r="B59" s="6" t="inlineStr">
        <is>
          <t>Modular Extensible Switchgear</t>
        </is>
      </c>
      <c r="C59" s="6" t="inlineStr">
        <is>
          <t>Aegis Plus</t>
        </is>
      </c>
      <c r="D59" s="6" t="inlineStr">
        <is>
          <t>AGP-EXT-LLV-Ext-24kV</t>
        </is>
      </c>
      <c r="E59" s="6" t="inlineStr">
        <is>
          <t>Aegis Plus Extensible LLV-Ext 24kV</t>
        </is>
      </c>
      <c r="F59" s="6" t="inlineStr">
        <is>
          <t>3-Function Extensible RMU (2x 630A LBS + 1x 630A VCB)</t>
        </is>
      </c>
      <c r="G59" s="5" t="inlineStr">
        <is>
          <t>24kV</t>
        </is>
      </c>
      <c r="H59" s="5" t="inlineStr">
        <is>
          <t>630A</t>
        </is>
      </c>
      <c r="I59" s="5" t="inlineStr">
        <is>
          <t>21kA 3s</t>
        </is>
      </c>
      <c r="J59" s="6" t="inlineStr">
        <is>
          <t>1050 x 715 x 1430 mm</t>
        </is>
      </c>
      <c r="K59" s="5" t="inlineStr">
        <is>
          <t>IP41 / IP54</t>
        </is>
      </c>
      <c r="L59" s="6" t="inlineStr">
        <is>
          <t>Dimensions: 1050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59" s="5" t="inlineStr">
        <is>
          <t>USD / Upon Request</t>
        </is>
      </c>
      <c r="N59" s="8" t="inlineStr">
        <is>
          <t>Upon request</t>
        </is>
      </c>
      <c r="O59" s="7" t="n"/>
      <c r="P59" s="8">
        <f>IF(ISNUMBER(N59),N59*(1-O59),N59)</f>
        <v/>
      </c>
      <c r="Q59" s="5" t="inlineStr">
        <is>
          <t>Upon request</t>
        </is>
      </c>
      <c r="R59" s="6" t="inlineStr">
        <is>
          <t>Manufactured to order (6-12 weeks)</t>
        </is>
      </c>
      <c r="S59" s="6" t="inlineStr">
        <is>
          <t>Floor Ground / Coupled Assembly</t>
        </is>
      </c>
      <c r="T59" s="6" t="inlineStr">
        <is>
          <t>IEC 62271-100, IEC 62271-102, IEC 62271-103, IEC 62271-200</t>
        </is>
      </c>
      <c r="U59" s="5" t="inlineStr">
        <is>
          <t>Page 11</t>
        </is>
      </c>
    </row>
    <row r="60" ht="20" customHeight="1">
      <c r="A60" s="10" t="inlineStr">
        <is>
          <t>Extensible RMU Modules</t>
        </is>
      </c>
      <c r="B60" s="10" t="inlineStr">
        <is>
          <t>Modular Extensible Switchgear</t>
        </is>
      </c>
      <c r="C60" s="10" t="inlineStr">
        <is>
          <t>Aegis Plus</t>
        </is>
      </c>
      <c r="D60" s="10" t="inlineStr">
        <is>
          <t>AGP-EXT-LLLF-Ext-12kV</t>
        </is>
      </c>
      <c r="E60" s="10" t="inlineStr">
        <is>
          <t>Aegis Plus Extensible LLLF-Ext 12kV</t>
        </is>
      </c>
      <c r="F60" s="10" t="inlineStr">
        <is>
          <t>4-Function Extensible RMU (3x 630A LBS + 1x 200A Switch Fuse)</t>
        </is>
      </c>
      <c r="G60" s="9" t="inlineStr">
        <is>
          <t>12kV</t>
        </is>
      </c>
      <c r="H60" s="9" t="inlineStr">
        <is>
          <t>630A</t>
        </is>
      </c>
      <c r="I60" s="9" t="inlineStr">
        <is>
          <t>21kA 3s</t>
        </is>
      </c>
      <c r="J60" s="10" t="inlineStr">
        <is>
          <t>1395 x 785 x 1430 mm</t>
        </is>
      </c>
      <c r="K60" s="9" t="inlineStr">
        <is>
          <t>IP41 / IP54</t>
        </is>
      </c>
      <c r="L60" s="10" t="inlineStr">
        <is>
          <t>Dimensions: 1395 x 785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60" s="9" t="inlineStr">
        <is>
          <t>USD / Upon Request</t>
        </is>
      </c>
      <c r="N60" s="12" t="inlineStr">
        <is>
          <t>Upon request</t>
        </is>
      </c>
      <c r="O60" s="11" t="n"/>
      <c r="P60" s="12">
        <f>IF(ISNUMBER(N60),N60*(1-O60),N60)</f>
        <v/>
      </c>
      <c r="Q60" s="9" t="inlineStr">
        <is>
          <t>Upon request</t>
        </is>
      </c>
      <c r="R60" s="10" t="inlineStr">
        <is>
          <t>Manufactured to order (6-12 weeks)</t>
        </is>
      </c>
      <c r="S60" s="10" t="inlineStr">
        <is>
          <t>Floor Ground / Coupled Assembly</t>
        </is>
      </c>
      <c r="T60" s="10" t="inlineStr">
        <is>
          <t>IEC 62271-100, IEC 62271-102, IEC 62271-103, IEC 62271-200</t>
        </is>
      </c>
      <c r="U60" s="9" t="inlineStr">
        <is>
          <t>Page 11</t>
        </is>
      </c>
    </row>
    <row r="61" ht="20" customHeight="1">
      <c r="A61" s="6" t="inlineStr">
        <is>
          <t>Extensible RMU Modules</t>
        </is>
      </c>
      <c r="B61" s="6" t="inlineStr">
        <is>
          <t>Modular Extensible Switchgear</t>
        </is>
      </c>
      <c r="C61" s="6" t="inlineStr">
        <is>
          <t>Aegis Plus</t>
        </is>
      </c>
      <c r="D61" s="6" t="inlineStr">
        <is>
          <t>AGP-EXT-LLLV-Ext-12kV</t>
        </is>
      </c>
      <c r="E61" s="6" t="inlineStr">
        <is>
          <t>Aegis Plus Extensible LLLV-Ext 12kV</t>
        </is>
      </c>
      <c r="F61" s="6" t="inlineStr">
        <is>
          <t>4-Function Extensible RMU (3x 630A LBS + 1x 630A VCB)</t>
        </is>
      </c>
      <c r="G61" s="5" t="inlineStr">
        <is>
          <t>12kV</t>
        </is>
      </c>
      <c r="H61" s="5" t="inlineStr">
        <is>
          <t>630A</t>
        </is>
      </c>
      <c r="I61" s="5" t="inlineStr">
        <is>
          <t>21kA 3s</t>
        </is>
      </c>
      <c r="J61" s="6" t="inlineStr">
        <is>
          <t>1395 x 715 x 1430 mm</t>
        </is>
      </c>
      <c r="K61" s="5" t="inlineStr">
        <is>
          <t>IP41 / IP54</t>
        </is>
      </c>
      <c r="L61" s="6" t="inlineStr">
        <is>
          <t>Dimensions: 1395 x 715 x 1430 mm; Side extensibility IP41 / Top extensibility IP41 &amp; IP54 with DIN 400 Type C bushings; Coupling bar pitch: 60mm; SF6 stainless steel tank; Short time withstand: 21kA 3s; Peak: 52.5kA; Impulse: 75/125kV; IAC AF/AFL/AFLR 20kA 1s</t>
        </is>
      </c>
      <c r="M61" s="5" t="inlineStr">
        <is>
          <t>USD / Upon Request</t>
        </is>
      </c>
      <c r="N61" s="8" t="inlineStr">
        <is>
          <t>Upon request</t>
        </is>
      </c>
      <c r="O61" s="7" t="n"/>
      <c r="P61" s="8">
        <f>IF(ISNUMBER(N61),N61*(1-O61),N61)</f>
        <v/>
      </c>
      <c r="Q61" s="5" t="inlineStr">
        <is>
          <t>Upon request</t>
        </is>
      </c>
      <c r="R61" s="6" t="inlineStr">
        <is>
          <t>Manufactured to order (6-12 weeks)</t>
        </is>
      </c>
      <c r="S61" s="6" t="inlineStr">
        <is>
          <t>Floor Ground / Coupled Assembly</t>
        </is>
      </c>
      <c r="T61" s="6" t="inlineStr">
        <is>
          <t>IEC 62271-100, IEC 62271-102, IEC 62271-103, IEC 62271-200</t>
        </is>
      </c>
      <c r="U61" s="5" t="inlineStr">
        <is>
          <t>Page 11</t>
        </is>
      </c>
    </row>
    <row r="62" ht="20" customHeight="1">
      <c r="A62" s="10" t="inlineStr">
        <is>
          <t>Air Metering Unit (AMU)</t>
        </is>
      </c>
      <c r="B62" s="10" t="inlineStr">
        <is>
          <t>Tariff Metering Panels</t>
        </is>
      </c>
      <c r="C62" s="10" t="inlineStr">
        <is>
          <t>Aegis Plus AMU</t>
        </is>
      </c>
      <c r="D62" s="10" t="inlineStr">
        <is>
          <t>AMU-Mt-NE-12kV</t>
        </is>
      </c>
      <c r="E62" s="10" t="inlineStr">
        <is>
          <t>AMU Mt-NE 12kV 630A</t>
        </is>
      </c>
      <c r="F62" s="10" t="inlineStr">
        <is>
          <t>Air Metering Unit - Freestanding Tariff Metering (Cable In / Cable Out, Non-Extensible)</t>
        </is>
      </c>
      <c r="G62" s="9" t="inlineStr">
        <is>
          <t>12kV</t>
        </is>
      </c>
      <c r="H62" s="9" t="inlineStr">
        <is>
          <t>630A</t>
        </is>
      </c>
      <c r="I62" s="9" t="inlineStr">
        <is>
          <t>20kA 1s</t>
        </is>
      </c>
      <c r="J62" s="10" t="inlineStr">
        <is>
          <t>725 x 670 x 1430 mm</t>
        </is>
      </c>
      <c r="K62" s="9" t="inlineStr">
        <is>
          <t>IP41 (Indoor)</t>
        </is>
      </c>
      <c r="L62" s="10" t="inlineStr">
        <is>
          <t>Dimensions: 725 x 670 x 1430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2" s="9" t="inlineStr">
        <is>
          <t>USD / Upon Request</t>
        </is>
      </c>
      <c r="N62" s="12" t="inlineStr">
        <is>
          <t>Upon request</t>
        </is>
      </c>
      <c r="O62" s="11" t="n"/>
      <c r="P62" s="12">
        <f>IF(ISNUMBER(N62),N62*(1-O62),N62)</f>
        <v/>
      </c>
      <c r="Q62" s="9" t="inlineStr">
        <is>
          <t>Upon request</t>
        </is>
      </c>
      <c r="R62" s="10" t="inlineStr">
        <is>
          <t>Manufactured to order (6-12 weeks)</t>
        </is>
      </c>
      <c r="S62" s="10" t="inlineStr">
        <is>
          <t>Floor Ground / Substation Plinth</t>
        </is>
      </c>
      <c r="T62" s="10" t="inlineStr">
        <is>
          <t>IEC 62271-200, DIN 42600</t>
        </is>
      </c>
      <c r="U62" s="9" t="inlineStr">
        <is>
          <t>Page 36</t>
        </is>
      </c>
    </row>
    <row r="63" ht="20" customHeight="1">
      <c r="A63" s="6" t="inlineStr">
        <is>
          <t>Air Metering Unit (AMU)</t>
        </is>
      </c>
      <c r="B63" s="6" t="inlineStr">
        <is>
          <t>Tariff Metering Panels</t>
        </is>
      </c>
      <c r="C63" s="6" t="inlineStr">
        <is>
          <t>Aegis Plus AMU</t>
        </is>
      </c>
      <c r="D63" s="6" t="inlineStr">
        <is>
          <t>AMU-Mt-NE-24kV</t>
        </is>
      </c>
      <c r="E63" s="6" t="inlineStr">
        <is>
          <t>AMU Mt-NE 24kV 630A</t>
        </is>
      </c>
      <c r="F63" s="6" t="inlineStr">
        <is>
          <t>Air Metering Unit - Freestanding Tariff Metering (Cable In / Cable Out, Non-Extensible)</t>
        </is>
      </c>
      <c r="G63" s="5" t="inlineStr">
        <is>
          <t>24kV</t>
        </is>
      </c>
      <c r="H63" s="5" t="inlineStr">
        <is>
          <t>630A</t>
        </is>
      </c>
      <c r="I63" s="5" t="inlineStr">
        <is>
          <t>20kA 1s</t>
        </is>
      </c>
      <c r="J63" s="6" t="inlineStr">
        <is>
          <t>725 x 670 x 1430 mm</t>
        </is>
      </c>
      <c r="K63" s="5" t="inlineStr">
        <is>
          <t>IP41 (Indoor)</t>
        </is>
      </c>
      <c r="L63" s="6" t="inlineStr">
        <is>
          <t>Dimensions: 725 x 670 x 1430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3" s="5" t="inlineStr">
        <is>
          <t>USD / Upon Request</t>
        </is>
      </c>
      <c r="N63" s="8" t="inlineStr">
        <is>
          <t>Upon request</t>
        </is>
      </c>
      <c r="O63" s="7" t="n"/>
      <c r="P63" s="8">
        <f>IF(ISNUMBER(N63),N63*(1-O63),N63)</f>
        <v/>
      </c>
      <c r="Q63" s="5" t="inlineStr">
        <is>
          <t>Upon request</t>
        </is>
      </c>
      <c r="R63" s="6" t="inlineStr">
        <is>
          <t>Manufactured to order (6-12 weeks)</t>
        </is>
      </c>
      <c r="S63" s="6" t="inlineStr">
        <is>
          <t>Floor Ground / Substation Plinth</t>
        </is>
      </c>
      <c r="T63" s="6" t="inlineStr">
        <is>
          <t>IEC 62271-200, DIN 42600</t>
        </is>
      </c>
      <c r="U63" s="5" t="inlineStr">
        <is>
          <t>Page 36</t>
        </is>
      </c>
    </row>
    <row r="64" ht="20" customHeight="1">
      <c r="A64" s="10" t="inlineStr">
        <is>
          <t>Air Metering Unit (AMU)</t>
        </is>
      </c>
      <c r="B64" s="10" t="inlineStr">
        <is>
          <t>Tariff Metering Panels</t>
        </is>
      </c>
      <c r="C64" s="10" t="inlineStr">
        <is>
          <t>Aegis Plus AMU</t>
        </is>
      </c>
      <c r="D64" s="10" t="inlineStr">
        <is>
          <t>AMU-Mt-NE-OUT-12kV</t>
        </is>
      </c>
      <c r="E64" s="10" t="inlineStr">
        <is>
          <t>AMU Mt-NE-OUT 12kV 630A</t>
        </is>
      </c>
      <c r="F64" s="10" t="inlineStr">
        <is>
          <t>Air Metering Unit - Freestanding Tariff Metering (Cable In / Cable Out, Outdoor)</t>
        </is>
      </c>
      <c r="G64" s="9" t="inlineStr">
        <is>
          <t>12kV</t>
        </is>
      </c>
      <c r="H64" s="9" t="inlineStr">
        <is>
          <t>630A</t>
        </is>
      </c>
      <c r="I64" s="9" t="inlineStr">
        <is>
          <t>20kA 1s</t>
        </is>
      </c>
      <c r="J64" s="10" t="inlineStr">
        <is>
          <t>725 x 670 x 1440 mm</t>
        </is>
      </c>
      <c r="K64" s="9" t="inlineStr">
        <is>
          <t>IP54 (Outdoor)</t>
        </is>
      </c>
      <c r="L64" s="10" t="inlineStr">
        <is>
          <t>Dimensions: 725 x 670 x 1440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4" s="9" t="inlineStr">
        <is>
          <t>USD / Upon Request</t>
        </is>
      </c>
      <c r="N64" s="12" t="inlineStr">
        <is>
          <t>Upon request</t>
        </is>
      </c>
      <c r="O64" s="11" t="n"/>
      <c r="P64" s="12">
        <f>IF(ISNUMBER(N64),N64*(1-O64),N64)</f>
        <v/>
      </c>
      <c r="Q64" s="9" t="inlineStr">
        <is>
          <t>Upon request</t>
        </is>
      </c>
      <c r="R64" s="10" t="inlineStr">
        <is>
          <t>Manufactured to order (6-12 weeks)</t>
        </is>
      </c>
      <c r="S64" s="10" t="inlineStr">
        <is>
          <t>Floor Ground / Substation Plinth</t>
        </is>
      </c>
      <c r="T64" s="10" t="inlineStr">
        <is>
          <t>IEC 62271-200, DIN 42600</t>
        </is>
      </c>
      <c r="U64" s="9" t="inlineStr">
        <is>
          <t>Page 36</t>
        </is>
      </c>
    </row>
    <row r="65" ht="20" customHeight="1">
      <c r="A65" s="6" t="inlineStr">
        <is>
          <t>Air Metering Unit (AMU)</t>
        </is>
      </c>
      <c r="B65" s="6" t="inlineStr">
        <is>
          <t>Tariff Metering Panels</t>
        </is>
      </c>
      <c r="C65" s="6" t="inlineStr">
        <is>
          <t>Aegis Plus AMU</t>
        </is>
      </c>
      <c r="D65" s="6" t="inlineStr">
        <is>
          <t>AMU-Mt-NE-OUT-24kV</t>
        </is>
      </c>
      <c r="E65" s="6" t="inlineStr">
        <is>
          <t>AMU Mt-NE-OUT 24kV 630A</t>
        </is>
      </c>
      <c r="F65" s="6" t="inlineStr">
        <is>
          <t>Air Metering Unit - Freestanding Tariff Metering (Cable In / Cable Out, Outdoor)</t>
        </is>
      </c>
      <c r="G65" s="5" t="inlineStr">
        <is>
          <t>24kV</t>
        </is>
      </c>
      <c r="H65" s="5" t="inlineStr">
        <is>
          <t>630A</t>
        </is>
      </c>
      <c r="I65" s="5" t="inlineStr">
        <is>
          <t>20kA 1s</t>
        </is>
      </c>
      <c r="J65" s="6" t="inlineStr">
        <is>
          <t>725 x 670 x 1440 mm</t>
        </is>
      </c>
      <c r="K65" s="5" t="inlineStr">
        <is>
          <t>IP54 (Outdoor)</t>
        </is>
      </c>
      <c r="L65" s="6" t="inlineStr">
        <is>
          <t>Dimensions: 725 x 670 x 1440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5" s="5" t="inlineStr">
        <is>
          <t>USD / Upon Request</t>
        </is>
      </c>
      <c r="N65" s="8" t="inlineStr">
        <is>
          <t>Upon request</t>
        </is>
      </c>
      <c r="O65" s="7" t="n"/>
      <c r="P65" s="8">
        <f>IF(ISNUMBER(N65),N65*(1-O65),N65)</f>
        <v/>
      </c>
      <c r="Q65" s="5" t="inlineStr">
        <is>
          <t>Upon request</t>
        </is>
      </c>
      <c r="R65" s="6" t="inlineStr">
        <is>
          <t>Manufactured to order (6-12 weeks)</t>
        </is>
      </c>
      <c r="S65" s="6" t="inlineStr">
        <is>
          <t>Floor Ground / Substation Plinth</t>
        </is>
      </c>
      <c r="T65" s="6" t="inlineStr">
        <is>
          <t>IEC 62271-200, DIN 42600</t>
        </is>
      </c>
      <c r="U65" s="5" t="inlineStr">
        <is>
          <t>Page 36</t>
        </is>
      </c>
    </row>
    <row r="66" ht="20" customHeight="1">
      <c r="A66" s="10" t="inlineStr">
        <is>
          <t>Air Metering Unit (AMU)</t>
        </is>
      </c>
      <c r="B66" s="10" t="inlineStr">
        <is>
          <t>Tariff Metering Panels</t>
        </is>
      </c>
      <c r="C66" s="10" t="inlineStr">
        <is>
          <t>Aegis Plus AMU</t>
        </is>
      </c>
      <c r="D66" s="10" t="inlineStr">
        <is>
          <t>AMU-Mt-EXT-12kV</t>
        </is>
      </c>
      <c r="E66" s="10" t="inlineStr">
        <is>
          <t>AMU Mt-EXT 12kV 630A</t>
        </is>
      </c>
      <c r="F66" s="10" t="inlineStr">
        <is>
          <t>Air Metering Unit - Tariff Metering (Cable In / Cable Out, Extensible)</t>
        </is>
      </c>
      <c r="G66" s="9" t="inlineStr">
        <is>
          <t>12kV</t>
        </is>
      </c>
      <c r="H66" s="9" t="inlineStr">
        <is>
          <t>630A</t>
        </is>
      </c>
      <c r="I66" s="9" t="inlineStr">
        <is>
          <t>20kA 1s</t>
        </is>
      </c>
      <c r="J66" s="10" t="inlineStr">
        <is>
          <t>845 x 730 x 1530 mm</t>
        </is>
      </c>
      <c r="K66" s="9" t="inlineStr">
        <is>
          <t>IP41 (Indoor)</t>
        </is>
      </c>
      <c r="L66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6" s="9" t="inlineStr">
        <is>
          <t>USD / Upon Request</t>
        </is>
      </c>
      <c r="N66" s="12" t="inlineStr">
        <is>
          <t>Upon request</t>
        </is>
      </c>
      <c r="O66" s="11" t="n"/>
      <c r="P66" s="12">
        <f>IF(ISNUMBER(N66),N66*(1-O66),N66)</f>
        <v/>
      </c>
      <c r="Q66" s="9" t="inlineStr">
        <is>
          <t>Upon request</t>
        </is>
      </c>
      <c r="R66" s="10" t="inlineStr">
        <is>
          <t>Manufactured to order (6-12 weeks)</t>
        </is>
      </c>
      <c r="S66" s="10" t="inlineStr">
        <is>
          <t>Floor Ground / Substation Plinth</t>
        </is>
      </c>
      <c r="T66" s="10" t="inlineStr">
        <is>
          <t>IEC 62271-200, DIN 42600</t>
        </is>
      </c>
      <c r="U66" s="9" t="inlineStr">
        <is>
          <t>Page 36</t>
        </is>
      </c>
    </row>
    <row r="67" ht="20" customHeight="1">
      <c r="A67" s="6" t="inlineStr">
        <is>
          <t>Air Metering Unit (AMU)</t>
        </is>
      </c>
      <c r="B67" s="6" t="inlineStr">
        <is>
          <t>Tariff Metering Panels</t>
        </is>
      </c>
      <c r="C67" s="6" t="inlineStr">
        <is>
          <t>Aegis Plus AMU</t>
        </is>
      </c>
      <c r="D67" s="6" t="inlineStr">
        <is>
          <t>AMU-Mt-EXT-24kV</t>
        </is>
      </c>
      <c r="E67" s="6" t="inlineStr">
        <is>
          <t>AMU Mt-EXT 24kV 630A</t>
        </is>
      </c>
      <c r="F67" s="6" t="inlineStr">
        <is>
          <t>Air Metering Unit - Tariff Metering (Cable In / Cable Out, Extensible)</t>
        </is>
      </c>
      <c r="G67" s="5" t="inlineStr">
        <is>
          <t>24kV</t>
        </is>
      </c>
      <c r="H67" s="5" t="inlineStr">
        <is>
          <t>630A</t>
        </is>
      </c>
      <c r="I67" s="5" t="inlineStr">
        <is>
          <t>20kA 1s</t>
        </is>
      </c>
      <c r="J67" s="6" t="inlineStr">
        <is>
          <t>845 x 730 x 1530 mm</t>
        </is>
      </c>
      <c r="K67" s="5" t="inlineStr">
        <is>
          <t>IP41 (Indoor)</t>
        </is>
      </c>
      <c r="L67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7" s="5" t="inlineStr">
        <is>
          <t>USD / Upon Request</t>
        </is>
      </c>
      <c r="N67" s="8" t="inlineStr">
        <is>
          <t>Upon request</t>
        </is>
      </c>
      <c r="O67" s="7" t="n"/>
      <c r="P67" s="8">
        <f>IF(ISNUMBER(N67),N67*(1-O67),N67)</f>
        <v/>
      </c>
      <c r="Q67" s="5" t="inlineStr">
        <is>
          <t>Upon request</t>
        </is>
      </c>
      <c r="R67" s="6" t="inlineStr">
        <is>
          <t>Manufactured to order (6-12 weeks)</t>
        </is>
      </c>
      <c r="S67" s="6" t="inlineStr">
        <is>
          <t>Floor Ground / Substation Plinth</t>
        </is>
      </c>
      <c r="T67" s="6" t="inlineStr">
        <is>
          <t>IEC 62271-200, DIN 42600</t>
        </is>
      </c>
      <c r="U67" s="5" t="inlineStr">
        <is>
          <t>Page 36</t>
        </is>
      </c>
    </row>
    <row r="68" ht="20" customHeight="1">
      <c r="A68" s="10" t="inlineStr">
        <is>
          <t>Air Metering Unit (AMU)</t>
        </is>
      </c>
      <c r="B68" s="10" t="inlineStr">
        <is>
          <t>Tariff Metering Panels</t>
        </is>
      </c>
      <c r="C68" s="10" t="inlineStr">
        <is>
          <t>Aegis Plus AMU</t>
        </is>
      </c>
      <c r="D68" s="10" t="inlineStr">
        <is>
          <t>AMU-M1-EXT-12kV</t>
        </is>
      </c>
      <c r="E68" s="10" t="inlineStr">
        <is>
          <t>AMU M1-EXT 12kV 630A</t>
        </is>
      </c>
      <c r="F68" s="10" t="inlineStr">
        <is>
          <t>Air Metering Unit - Busbar Metering (Busbar In / Busbar Out, Double End DE Extensible)</t>
        </is>
      </c>
      <c r="G68" s="9" t="inlineStr">
        <is>
          <t>12kV</t>
        </is>
      </c>
      <c r="H68" s="9" t="inlineStr">
        <is>
          <t>630A</t>
        </is>
      </c>
      <c r="I68" s="9" t="inlineStr">
        <is>
          <t>20kA 1s</t>
        </is>
      </c>
      <c r="J68" s="10" t="inlineStr">
        <is>
          <t>845 x 730 x 1530 mm</t>
        </is>
      </c>
      <c r="K68" s="9" t="inlineStr">
        <is>
          <t>IP41 (Indoor)</t>
        </is>
      </c>
      <c r="L68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8" s="9" t="inlineStr">
        <is>
          <t>USD / Upon Request</t>
        </is>
      </c>
      <c r="N68" s="12" t="inlineStr">
        <is>
          <t>Upon request</t>
        </is>
      </c>
      <c r="O68" s="11" t="n"/>
      <c r="P68" s="12">
        <f>IF(ISNUMBER(N68),N68*(1-O68),N68)</f>
        <v/>
      </c>
      <c r="Q68" s="9" t="inlineStr">
        <is>
          <t>Upon request</t>
        </is>
      </c>
      <c r="R68" s="10" t="inlineStr">
        <is>
          <t>Manufactured to order (6-12 weeks)</t>
        </is>
      </c>
      <c r="S68" s="10" t="inlineStr">
        <is>
          <t>Floor Ground / Substation Plinth</t>
        </is>
      </c>
      <c r="T68" s="10" t="inlineStr">
        <is>
          <t>IEC 62271-200, DIN 42600</t>
        </is>
      </c>
      <c r="U68" s="9" t="inlineStr">
        <is>
          <t>Page 37</t>
        </is>
      </c>
    </row>
    <row r="69" ht="20" customHeight="1">
      <c r="A69" s="6" t="inlineStr">
        <is>
          <t>Air Metering Unit (AMU)</t>
        </is>
      </c>
      <c r="B69" s="6" t="inlineStr">
        <is>
          <t>Tariff Metering Panels</t>
        </is>
      </c>
      <c r="C69" s="6" t="inlineStr">
        <is>
          <t>Aegis Plus AMU</t>
        </is>
      </c>
      <c r="D69" s="6" t="inlineStr">
        <is>
          <t>AMU-M1-EXT-24kV</t>
        </is>
      </c>
      <c r="E69" s="6" t="inlineStr">
        <is>
          <t>AMU M1-EXT 24kV 630A</t>
        </is>
      </c>
      <c r="F69" s="6" t="inlineStr">
        <is>
          <t>Air Metering Unit - Busbar Metering (Busbar In / Busbar Out, Double End DE Extensible)</t>
        </is>
      </c>
      <c r="G69" s="5" t="inlineStr">
        <is>
          <t>24kV</t>
        </is>
      </c>
      <c r="H69" s="5" t="inlineStr">
        <is>
          <t>630A</t>
        </is>
      </c>
      <c r="I69" s="5" t="inlineStr">
        <is>
          <t>20kA 1s</t>
        </is>
      </c>
      <c r="J69" s="6" t="inlineStr">
        <is>
          <t>845 x 730 x 1530 mm</t>
        </is>
      </c>
      <c r="K69" s="5" t="inlineStr">
        <is>
          <t>IP41 (Indoor)</t>
        </is>
      </c>
      <c r="L69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69" s="5" t="inlineStr">
        <is>
          <t>USD / Upon Request</t>
        </is>
      </c>
      <c r="N69" s="8" t="inlineStr">
        <is>
          <t>Upon request</t>
        </is>
      </c>
      <c r="O69" s="7" t="n"/>
      <c r="P69" s="8">
        <f>IF(ISNUMBER(N69),N69*(1-O69),N69)</f>
        <v/>
      </c>
      <c r="Q69" s="5" t="inlineStr">
        <is>
          <t>Upon request</t>
        </is>
      </c>
      <c r="R69" s="6" t="inlineStr">
        <is>
          <t>Manufactured to order (6-12 weeks)</t>
        </is>
      </c>
      <c r="S69" s="6" t="inlineStr">
        <is>
          <t>Floor Ground / Substation Plinth</t>
        </is>
      </c>
      <c r="T69" s="6" t="inlineStr">
        <is>
          <t>IEC 62271-200, DIN 42600</t>
        </is>
      </c>
      <c r="U69" s="5" t="inlineStr">
        <is>
          <t>Page 37</t>
        </is>
      </c>
    </row>
    <row r="70" ht="20" customHeight="1">
      <c r="A70" s="10" t="inlineStr">
        <is>
          <t>Air Metering Unit (AMU)</t>
        </is>
      </c>
      <c r="B70" s="10" t="inlineStr">
        <is>
          <t>Tariff Metering Panels</t>
        </is>
      </c>
      <c r="C70" s="10" t="inlineStr">
        <is>
          <t>Aegis Plus AMU</t>
        </is>
      </c>
      <c r="D70" s="10" t="inlineStr">
        <is>
          <t>AMU-M2-EXT-12kV</t>
        </is>
      </c>
      <c r="E70" s="10" t="inlineStr">
        <is>
          <t>AMU M2-EXT 12kV 630A</t>
        </is>
      </c>
      <c r="F70" s="10" t="inlineStr">
        <is>
          <t>Air Metering Unit - Incomer Metering (Cable In / Busbar Out, Right End RE Extensible)</t>
        </is>
      </c>
      <c r="G70" s="9" t="inlineStr">
        <is>
          <t>12kV</t>
        </is>
      </c>
      <c r="H70" s="9" t="inlineStr">
        <is>
          <t>630A</t>
        </is>
      </c>
      <c r="I70" s="9" t="inlineStr">
        <is>
          <t>20kA 1s</t>
        </is>
      </c>
      <c r="J70" s="10" t="inlineStr">
        <is>
          <t>845 x 730 x 1530 mm</t>
        </is>
      </c>
      <c r="K70" s="9" t="inlineStr">
        <is>
          <t>IP41 (Indoor)</t>
        </is>
      </c>
      <c r="L70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70" s="9" t="inlineStr">
        <is>
          <t>USD / Upon Request</t>
        </is>
      </c>
      <c r="N70" s="12" t="inlineStr">
        <is>
          <t>Upon request</t>
        </is>
      </c>
      <c r="O70" s="11" t="n"/>
      <c r="P70" s="12">
        <f>IF(ISNUMBER(N70),N70*(1-O70),N70)</f>
        <v/>
      </c>
      <c r="Q70" s="9" t="inlineStr">
        <is>
          <t>Upon request</t>
        </is>
      </c>
      <c r="R70" s="10" t="inlineStr">
        <is>
          <t>Manufactured to order (6-12 weeks)</t>
        </is>
      </c>
      <c r="S70" s="10" t="inlineStr">
        <is>
          <t>Floor Ground / Substation Plinth</t>
        </is>
      </c>
      <c r="T70" s="10" t="inlineStr">
        <is>
          <t>IEC 62271-200, DIN 42600</t>
        </is>
      </c>
      <c r="U70" s="9" t="inlineStr">
        <is>
          <t>Page 37</t>
        </is>
      </c>
    </row>
    <row r="71" ht="20" customHeight="1">
      <c r="A71" s="6" t="inlineStr">
        <is>
          <t>Air Metering Unit (AMU)</t>
        </is>
      </c>
      <c r="B71" s="6" t="inlineStr">
        <is>
          <t>Tariff Metering Panels</t>
        </is>
      </c>
      <c r="C71" s="6" t="inlineStr">
        <is>
          <t>Aegis Plus AMU</t>
        </is>
      </c>
      <c r="D71" s="6" t="inlineStr">
        <is>
          <t>AMU-M2-EXT-24kV</t>
        </is>
      </c>
      <c r="E71" s="6" t="inlineStr">
        <is>
          <t>AMU M2-EXT 24kV 630A</t>
        </is>
      </c>
      <c r="F71" s="6" t="inlineStr">
        <is>
          <t>Air Metering Unit - Incomer Metering (Cable In / Busbar Out, Right End RE Extensible)</t>
        </is>
      </c>
      <c r="G71" s="5" t="inlineStr">
        <is>
          <t>24kV</t>
        </is>
      </c>
      <c r="H71" s="5" t="inlineStr">
        <is>
          <t>630A</t>
        </is>
      </c>
      <c r="I71" s="5" t="inlineStr">
        <is>
          <t>20kA 1s</t>
        </is>
      </c>
      <c r="J71" s="6" t="inlineStr">
        <is>
          <t>845 x 730 x 1530 mm</t>
        </is>
      </c>
      <c r="K71" s="5" t="inlineStr">
        <is>
          <t>IP41 (Indoor)</t>
        </is>
      </c>
      <c r="L71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71" s="5" t="inlineStr">
        <is>
          <t>USD / Upon Request</t>
        </is>
      </c>
      <c r="N71" s="8" t="inlineStr">
        <is>
          <t>Upon request</t>
        </is>
      </c>
      <c r="O71" s="7" t="n"/>
      <c r="P71" s="8">
        <f>IF(ISNUMBER(N71),N71*(1-O71),N71)</f>
        <v/>
      </c>
      <c r="Q71" s="5" t="inlineStr">
        <is>
          <t>Upon request</t>
        </is>
      </c>
      <c r="R71" s="6" t="inlineStr">
        <is>
          <t>Manufactured to order (6-12 weeks)</t>
        </is>
      </c>
      <c r="S71" s="6" t="inlineStr">
        <is>
          <t>Floor Ground / Substation Plinth</t>
        </is>
      </c>
      <c r="T71" s="6" t="inlineStr">
        <is>
          <t>IEC 62271-200, DIN 42600</t>
        </is>
      </c>
      <c r="U71" s="5" t="inlineStr">
        <is>
          <t>Page 37</t>
        </is>
      </c>
    </row>
    <row r="72" ht="20" customHeight="1">
      <c r="A72" s="10" t="inlineStr">
        <is>
          <t>Air Metering Unit (AMU)</t>
        </is>
      </c>
      <c r="B72" s="10" t="inlineStr">
        <is>
          <t>Tariff Metering Panels</t>
        </is>
      </c>
      <c r="C72" s="10" t="inlineStr">
        <is>
          <t>Aegis Plus AMU</t>
        </is>
      </c>
      <c r="D72" s="10" t="inlineStr">
        <is>
          <t>AMU-M3-EXT-12kV</t>
        </is>
      </c>
      <c r="E72" s="10" t="inlineStr">
        <is>
          <t>AMU M3-EXT 12kV 630A</t>
        </is>
      </c>
      <c r="F72" s="10" t="inlineStr">
        <is>
          <t>Air Metering Unit - Outgoing Metering (Busbar In / Cable Out, Left End LE Extensible)</t>
        </is>
      </c>
      <c r="G72" s="9" t="inlineStr">
        <is>
          <t>12kV</t>
        </is>
      </c>
      <c r="H72" s="9" t="inlineStr">
        <is>
          <t>630A</t>
        </is>
      </c>
      <c r="I72" s="9" t="inlineStr">
        <is>
          <t>20kA 1s</t>
        </is>
      </c>
      <c r="J72" s="10" t="inlineStr">
        <is>
          <t>845 x 730 x 1530 mm</t>
        </is>
      </c>
      <c r="K72" s="9" t="inlineStr">
        <is>
          <t>IP41 (Indoor)</t>
        </is>
      </c>
      <c r="L72" s="10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72" s="9" t="inlineStr">
        <is>
          <t>USD / Upon Request</t>
        </is>
      </c>
      <c r="N72" s="12" t="inlineStr">
        <is>
          <t>Upon request</t>
        </is>
      </c>
      <c r="O72" s="11" t="n"/>
      <c r="P72" s="12">
        <f>IF(ISNUMBER(N72),N72*(1-O72),N72)</f>
        <v/>
      </c>
      <c r="Q72" s="9" t="inlineStr">
        <is>
          <t>Upon request</t>
        </is>
      </c>
      <c r="R72" s="10" t="inlineStr">
        <is>
          <t>Manufactured to order (6-12 weeks)</t>
        </is>
      </c>
      <c r="S72" s="10" t="inlineStr">
        <is>
          <t>Floor Ground / Substation Plinth</t>
        </is>
      </c>
      <c r="T72" s="10" t="inlineStr">
        <is>
          <t>IEC 62271-200, DIN 42600</t>
        </is>
      </c>
      <c r="U72" s="9" t="inlineStr">
        <is>
          <t>Page 37</t>
        </is>
      </c>
    </row>
    <row r="73" ht="20" customHeight="1">
      <c r="A73" s="6" t="inlineStr">
        <is>
          <t>Air Metering Unit (AMU)</t>
        </is>
      </c>
      <c r="B73" s="6" t="inlineStr">
        <is>
          <t>Tariff Metering Panels</t>
        </is>
      </c>
      <c r="C73" s="6" t="inlineStr">
        <is>
          <t>Aegis Plus AMU</t>
        </is>
      </c>
      <c r="D73" s="6" t="inlineStr">
        <is>
          <t>AMU-M3-EXT-24kV</t>
        </is>
      </c>
      <c r="E73" s="6" t="inlineStr">
        <is>
          <t>AMU M3-EXT 24kV 630A</t>
        </is>
      </c>
      <c r="F73" s="6" t="inlineStr">
        <is>
          <t>Air Metering Unit - Outgoing Metering (Busbar In / Cable Out, Left End LE Extensible)</t>
        </is>
      </c>
      <c r="G73" s="5" t="inlineStr">
        <is>
          <t>24kV</t>
        </is>
      </c>
      <c r="H73" s="5" t="inlineStr">
        <is>
          <t>630A</t>
        </is>
      </c>
      <c r="I73" s="5" t="inlineStr">
        <is>
          <t>20kA 1s</t>
        </is>
      </c>
      <c r="J73" s="6" t="inlineStr">
        <is>
          <t>845 x 730 x 1530 mm</t>
        </is>
      </c>
      <c r="K73" s="5" t="inlineStr">
        <is>
          <t>IP41 (Indoor)</t>
        </is>
      </c>
      <c r="L73" s="6" t="inlineStr">
        <is>
          <t>Dimensions: 845 x 730 x 1530 mm; Air insulated; Busbar cross-section: 160 mm²; Short time withstand: 20kA 1s; Peak withstand: 50kA; Impulse withstand: 75/125kV; Power freq: 28/50kV; Internal arc: IAC AF 20kA 1s; Accommodates 3x CTs &amp; 1x 3ph / 3x 1ph VTs; DIN96 KWH meter provision; 110V anti-condensation space heater</t>
        </is>
      </c>
      <c r="M73" s="5" t="inlineStr">
        <is>
          <t>USD / Upon Request</t>
        </is>
      </c>
      <c r="N73" s="8" t="inlineStr">
        <is>
          <t>Upon request</t>
        </is>
      </c>
      <c r="O73" s="7" t="n"/>
      <c r="P73" s="8">
        <f>IF(ISNUMBER(N73),N73*(1-O73),N73)</f>
        <v/>
      </c>
      <c r="Q73" s="5" t="inlineStr">
        <is>
          <t>Upon request</t>
        </is>
      </c>
      <c r="R73" s="6" t="inlineStr">
        <is>
          <t>Manufactured to order (6-12 weeks)</t>
        </is>
      </c>
      <c r="S73" s="6" t="inlineStr">
        <is>
          <t>Floor Ground / Substation Plinth</t>
        </is>
      </c>
      <c r="T73" s="6" t="inlineStr">
        <is>
          <t>IEC 62271-200, DIN 42600</t>
        </is>
      </c>
      <c r="U73" s="5" t="inlineStr">
        <is>
          <t>Page 37</t>
        </is>
      </c>
    </row>
    <row r="74" ht="20" customHeight="1">
      <c r="A74" s="10" t="inlineStr">
        <is>
          <t>Instrument Transformers (CT/VT)</t>
        </is>
      </c>
      <c r="B74" s="10" t="inlineStr">
        <is>
          <t>Voltage Transformers (VT)</t>
        </is>
      </c>
      <c r="C74" s="10" t="inlineStr">
        <is>
          <t>AMU VTs</t>
        </is>
      </c>
      <c r="D74" s="10" t="inlineStr">
        <is>
          <t>VT-3P-11K-05</t>
        </is>
      </c>
      <c r="E74" s="10" t="inlineStr">
        <is>
          <t>VT 11000/110V Class 0.5</t>
        </is>
      </c>
      <c r="F74" s="10" t="inlineStr">
        <is>
          <t>Voltage Transformer 3-Phase 11000/110V (Narrow type DIN 42600)</t>
        </is>
      </c>
      <c r="G74" s="9" t="inlineStr">
        <is>
          <t>11kV / 22kV</t>
        </is>
      </c>
      <c r="H74" s="9" t="inlineStr">
        <is>
          <t>110V Secondary</t>
        </is>
      </c>
      <c r="I74" s="9" t="inlineStr">
        <is>
          <t>-</t>
        </is>
      </c>
      <c r="J74" s="10" t="inlineStr">
        <is>
          <t>DIN 42600 narrow form</t>
        </is>
      </c>
      <c r="K74" s="9" t="inlineStr">
        <is>
          <t>IP00 (Inside Enclosure)</t>
        </is>
      </c>
      <c r="L74" s="10" t="inlineStr">
        <is>
          <t>DIN 42600 narrow type standard; Epoxy resin cast; Primary voltage: 11kV / 22kV; Secondary voltage: 110V; Burden: 10/50/100VA; Class: Class 0.5</t>
        </is>
      </c>
      <c r="M74" s="9" t="inlineStr">
        <is>
          <t>USD / Upon Request</t>
        </is>
      </c>
      <c r="N74" s="12" t="inlineStr">
        <is>
          <t>Upon request</t>
        </is>
      </c>
      <c r="O74" s="11" t="n"/>
      <c r="P74" s="12">
        <f>IF(ISNUMBER(N74),N74*(1-O74),N74)</f>
        <v/>
      </c>
      <c r="Q74" s="9" t="inlineStr">
        <is>
          <t>Upon request</t>
        </is>
      </c>
      <c r="R74" s="10" t="inlineStr">
        <is>
          <t>Available to order (2-4 weeks)</t>
        </is>
      </c>
      <c r="S74" s="10" t="inlineStr">
        <is>
          <t>AMU Internal VT Bracket</t>
        </is>
      </c>
      <c r="T74" s="10" t="inlineStr">
        <is>
          <t>IEC 61869-3, DIN 42600</t>
        </is>
      </c>
      <c r="U74" s="9" t="inlineStr">
        <is>
          <t>Page 37</t>
        </is>
      </c>
    </row>
    <row r="75" ht="20" customHeight="1">
      <c r="A75" s="6" t="inlineStr">
        <is>
          <t>Instrument Transformers (CT/VT)</t>
        </is>
      </c>
      <c r="B75" s="6" t="inlineStr">
        <is>
          <t>Voltage Transformers (VT)</t>
        </is>
      </c>
      <c r="C75" s="6" t="inlineStr">
        <is>
          <t>AMU VTs</t>
        </is>
      </c>
      <c r="D75" s="6" t="inlineStr">
        <is>
          <t>VT-3P-11K-02</t>
        </is>
      </c>
      <c r="E75" s="6" t="inlineStr">
        <is>
          <t>VT 11000/110V Class 0.2</t>
        </is>
      </c>
      <c r="F75" s="6" t="inlineStr">
        <is>
          <t>Voltage Transformer 3-Phase 11000/110V High Precision (DIN 42600)</t>
        </is>
      </c>
      <c r="G75" s="5" t="inlineStr">
        <is>
          <t>11kV / 22kV</t>
        </is>
      </c>
      <c r="H75" s="5" t="inlineStr">
        <is>
          <t>110V Secondary</t>
        </is>
      </c>
      <c r="I75" s="5" t="inlineStr">
        <is>
          <t>-</t>
        </is>
      </c>
      <c r="J75" s="6" t="inlineStr">
        <is>
          <t>DIN 42600 narrow form</t>
        </is>
      </c>
      <c r="K75" s="5" t="inlineStr">
        <is>
          <t>IP00 (Inside Enclosure)</t>
        </is>
      </c>
      <c r="L75" s="6" t="inlineStr">
        <is>
          <t>DIN 42600 narrow type standard; Epoxy resin cast; Primary voltage: 11kV / 22kV; Secondary voltage: 110V; Burden: 50VA; Class: Class 0.2</t>
        </is>
      </c>
      <c r="M75" s="5" t="inlineStr">
        <is>
          <t>USD / Upon Request</t>
        </is>
      </c>
      <c r="N75" s="8" t="inlineStr">
        <is>
          <t>Upon request</t>
        </is>
      </c>
      <c r="O75" s="7" t="n"/>
      <c r="P75" s="8">
        <f>IF(ISNUMBER(N75),N75*(1-O75),N75)</f>
        <v/>
      </c>
      <c r="Q75" s="5" t="inlineStr">
        <is>
          <t>Upon request</t>
        </is>
      </c>
      <c r="R75" s="6" t="inlineStr">
        <is>
          <t>Available to order (2-4 weeks)</t>
        </is>
      </c>
      <c r="S75" s="6" t="inlineStr">
        <is>
          <t>AMU Internal VT Bracket</t>
        </is>
      </c>
      <c r="T75" s="6" t="inlineStr">
        <is>
          <t>IEC 61869-3, DIN 42600</t>
        </is>
      </c>
      <c r="U75" s="5" t="inlineStr">
        <is>
          <t>Page 37</t>
        </is>
      </c>
    </row>
    <row r="76" ht="20" customHeight="1">
      <c r="A76" s="10" t="inlineStr">
        <is>
          <t>Instrument Transformers (CT/VT)</t>
        </is>
      </c>
      <c r="B76" s="10" t="inlineStr">
        <is>
          <t>Voltage Transformers (VT)</t>
        </is>
      </c>
      <c r="C76" s="10" t="inlineStr">
        <is>
          <t>AMU VTs</t>
        </is>
      </c>
      <c r="D76" s="10" t="inlineStr">
        <is>
          <t>VT-3P-11K-10</t>
        </is>
      </c>
      <c r="E76" s="10" t="inlineStr">
        <is>
          <t>VT 11000/110V Class 1.0</t>
        </is>
      </c>
      <c r="F76" s="10" t="inlineStr">
        <is>
          <t>Voltage Transformer 3-Phase 11000/110V Industrial (DIN 42600)</t>
        </is>
      </c>
      <c r="G76" s="9" t="inlineStr">
        <is>
          <t>11kV / 22kV</t>
        </is>
      </c>
      <c r="H76" s="9" t="inlineStr">
        <is>
          <t>110V Secondary</t>
        </is>
      </c>
      <c r="I76" s="9" t="inlineStr">
        <is>
          <t>-</t>
        </is>
      </c>
      <c r="J76" s="10" t="inlineStr">
        <is>
          <t>DIN 42600 narrow form</t>
        </is>
      </c>
      <c r="K76" s="9" t="inlineStr">
        <is>
          <t>IP00 (Inside Enclosure)</t>
        </is>
      </c>
      <c r="L76" s="10" t="inlineStr">
        <is>
          <t>DIN 42600 narrow type standard; Epoxy resin cast; Primary voltage: 11kV / 22kV; Secondary voltage: 110V; Burden: 100VA; Class: Class 1.0</t>
        </is>
      </c>
      <c r="M76" s="9" t="inlineStr">
        <is>
          <t>USD / Upon Request</t>
        </is>
      </c>
      <c r="N76" s="12" t="inlineStr">
        <is>
          <t>Upon request</t>
        </is>
      </c>
      <c r="O76" s="11" t="n"/>
      <c r="P76" s="12">
        <f>IF(ISNUMBER(N76),N76*(1-O76),N76)</f>
        <v/>
      </c>
      <c r="Q76" s="9" t="inlineStr">
        <is>
          <t>Upon request</t>
        </is>
      </c>
      <c r="R76" s="10" t="inlineStr">
        <is>
          <t>Available to order (2-4 weeks)</t>
        </is>
      </c>
      <c r="S76" s="10" t="inlineStr">
        <is>
          <t>AMU Internal VT Bracket</t>
        </is>
      </c>
      <c r="T76" s="10" t="inlineStr">
        <is>
          <t>IEC 61869-3, DIN 42600</t>
        </is>
      </c>
      <c r="U76" s="9" t="inlineStr">
        <is>
          <t>Page 37</t>
        </is>
      </c>
    </row>
    <row r="77" ht="20" customHeight="1">
      <c r="A77" s="6" t="inlineStr">
        <is>
          <t>Instrument Transformers (CT/VT)</t>
        </is>
      </c>
      <c r="B77" s="6" t="inlineStr">
        <is>
          <t>Voltage Transformers (VT)</t>
        </is>
      </c>
      <c r="C77" s="6" t="inlineStr">
        <is>
          <t>AMU VTs</t>
        </is>
      </c>
      <c r="D77" s="6" t="inlineStr">
        <is>
          <t>VT-3P-22K-05</t>
        </is>
      </c>
      <c r="E77" s="6" t="inlineStr">
        <is>
          <t>VT 22000/110V Class 0.5</t>
        </is>
      </c>
      <c r="F77" s="6" t="inlineStr">
        <is>
          <t>Voltage Transformer 3-Phase 22000/110V (Narrow type DIN 42600)</t>
        </is>
      </c>
      <c r="G77" s="5" t="inlineStr">
        <is>
          <t>11kV / 22kV</t>
        </is>
      </c>
      <c r="H77" s="5" t="inlineStr">
        <is>
          <t>110V Secondary</t>
        </is>
      </c>
      <c r="I77" s="5" t="inlineStr">
        <is>
          <t>-</t>
        </is>
      </c>
      <c r="J77" s="6" t="inlineStr">
        <is>
          <t>DIN 42600 narrow form</t>
        </is>
      </c>
      <c r="K77" s="5" t="inlineStr">
        <is>
          <t>IP00 (Inside Enclosure)</t>
        </is>
      </c>
      <c r="L77" s="6" t="inlineStr">
        <is>
          <t>DIN 42600 narrow type standard; Epoxy resin cast; Primary voltage: 11kV / 22kV; Secondary voltage: 110V; Burden: 50/60VA; Class: Class 0.5</t>
        </is>
      </c>
      <c r="M77" s="5" t="inlineStr">
        <is>
          <t>USD / Upon Request</t>
        </is>
      </c>
      <c r="N77" s="8" t="inlineStr">
        <is>
          <t>Upon request</t>
        </is>
      </c>
      <c r="O77" s="7" t="n"/>
      <c r="P77" s="8">
        <f>IF(ISNUMBER(N77),N77*(1-O77),N77)</f>
        <v/>
      </c>
      <c r="Q77" s="5" t="inlineStr">
        <is>
          <t>Upon request</t>
        </is>
      </c>
      <c r="R77" s="6" t="inlineStr">
        <is>
          <t>Available to order (2-4 weeks)</t>
        </is>
      </c>
      <c r="S77" s="6" t="inlineStr">
        <is>
          <t>AMU Internal VT Bracket</t>
        </is>
      </c>
      <c r="T77" s="6" t="inlineStr">
        <is>
          <t>IEC 61869-3, DIN 42600</t>
        </is>
      </c>
      <c r="U77" s="5" t="inlineStr">
        <is>
          <t>Page 37</t>
        </is>
      </c>
    </row>
    <row r="78" ht="20" customHeight="1">
      <c r="A78" s="10" t="inlineStr">
        <is>
          <t>Instrument Transformers (CT/VT)</t>
        </is>
      </c>
      <c r="B78" s="10" t="inlineStr">
        <is>
          <t>Voltage Transformers (VT)</t>
        </is>
      </c>
      <c r="C78" s="10" t="inlineStr">
        <is>
          <t>AMU VTs</t>
        </is>
      </c>
      <c r="D78" s="10" t="inlineStr">
        <is>
          <t>VT-1P-11K-05</t>
        </is>
      </c>
      <c r="E78" s="10" t="inlineStr">
        <is>
          <t>VT 11000/110V Class 0.5</t>
        </is>
      </c>
      <c r="F78" s="10" t="inlineStr">
        <is>
          <t>Voltage Transformer Single-Phase 11000/110V Set of 3 (DIN 42600)</t>
        </is>
      </c>
      <c r="G78" s="9" t="inlineStr">
        <is>
          <t>11kV / 22kV</t>
        </is>
      </c>
      <c r="H78" s="9" t="inlineStr">
        <is>
          <t>110V Secondary</t>
        </is>
      </c>
      <c r="I78" s="9" t="inlineStr">
        <is>
          <t>-</t>
        </is>
      </c>
      <c r="J78" s="10" t="inlineStr">
        <is>
          <t>DIN 42600 narrow form</t>
        </is>
      </c>
      <c r="K78" s="9" t="inlineStr">
        <is>
          <t>IP00 (Inside Enclosure)</t>
        </is>
      </c>
      <c r="L78" s="10" t="inlineStr">
        <is>
          <t>DIN 42600 narrow type standard; Epoxy resin cast; Primary voltage: 11kV / 22kV; Secondary voltage: 110V; Burden: 50VA; Class: Class 0.5</t>
        </is>
      </c>
      <c r="M78" s="9" t="inlineStr">
        <is>
          <t>USD / Upon Request</t>
        </is>
      </c>
      <c r="N78" s="12" t="inlineStr">
        <is>
          <t>Upon request</t>
        </is>
      </c>
      <c r="O78" s="11" t="n"/>
      <c r="P78" s="12">
        <f>IF(ISNUMBER(N78),N78*(1-O78),N78)</f>
        <v/>
      </c>
      <c r="Q78" s="9" t="inlineStr">
        <is>
          <t>Upon request</t>
        </is>
      </c>
      <c r="R78" s="10" t="inlineStr">
        <is>
          <t>Available to order (2-4 weeks)</t>
        </is>
      </c>
      <c r="S78" s="10" t="inlineStr">
        <is>
          <t>AMU Internal VT Bracket</t>
        </is>
      </c>
      <c r="T78" s="10" t="inlineStr">
        <is>
          <t>IEC 61869-3, DIN 42600</t>
        </is>
      </c>
      <c r="U78" s="9" t="inlineStr">
        <is>
          <t>Page 37</t>
        </is>
      </c>
    </row>
    <row r="79" ht="20" customHeight="1">
      <c r="A79" s="6" t="inlineStr">
        <is>
          <t>Instrument Transformers (CT/VT)</t>
        </is>
      </c>
      <c r="B79" s="6" t="inlineStr">
        <is>
          <t>Voltage Transformers (VT)</t>
        </is>
      </c>
      <c r="C79" s="6" t="inlineStr">
        <is>
          <t>AMU VTs</t>
        </is>
      </c>
      <c r="D79" s="6" t="inlineStr">
        <is>
          <t>VT-1P-22K-05</t>
        </is>
      </c>
      <c r="E79" s="6" t="inlineStr">
        <is>
          <t>VT 22000/110V Class 0.5</t>
        </is>
      </c>
      <c r="F79" s="6" t="inlineStr">
        <is>
          <t>Voltage Transformer Single-Phase 22000/110V Set of 3 (DIN 42600)</t>
        </is>
      </c>
      <c r="G79" s="5" t="inlineStr">
        <is>
          <t>11kV / 22kV</t>
        </is>
      </c>
      <c r="H79" s="5" t="inlineStr">
        <is>
          <t>110V Secondary</t>
        </is>
      </c>
      <c r="I79" s="5" t="inlineStr">
        <is>
          <t>-</t>
        </is>
      </c>
      <c r="J79" s="6" t="inlineStr">
        <is>
          <t>DIN 42600 narrow form</t>
        </is>
      </c>
      <c r="K79" s="5" t="inlineStr">
        <is>
          <t>IP00 (Inside Enclosure)</t>
        </is>
      </c>
      <c r="L79" s="6" t="inlineStr">
        <is>
          <t>DIN 42600 narrow type standard; Epoxy resin cast; Primary voltage: 11kV / 22kV; Secondary voltage: 110V; Burden: 50VA; Class: Class 0.5</t>
        </is>
      </c>
      <c r="M79" s="5" t="inlineStr">
        <is>
          <t>USD / Upon Request</t>
        </is>
      </c>
      <c r="N79" s="8" t="inlineStr">
        <is>
          <t>Upon request</t>
        </is>
      </c>
      <c r="O79" s="7" t="n"/>
      <c r="P79" s="8">
        <f>IF(ISNUMBER(N79),N79*(1-O79),N79)</f>
        <v/>
      </c>
      <c r="Q79" s="5" t="inlineStr">
        <is>
          <t>Upon request</t>
        </is>
      </c>
      <c r="R79" s="6" t="inlineStr">
        <is>
          <t>Available to order (2-4 weeks)</t>
        </is>
      </c>
      <c r="S79" s="6" t="inlineStr">
        <is>
          <t>AMU Internal VT Bracket</t>
        </is>
      </c>
      <c r="T79" s="6" t="inlineStr">
        <is>
          <t>IEC 61869-3, DIN 42600</t>
        </is>
      </c>
      <c r="U79" s="5" t="inlineStr">
        <is>
          <t>Page 37</t>
        </is>
      </c>
    </row>
    <row r="80" ht="20" customHeight="1">
      <c r="A80" s="10" t="inlineStr">
        <is>
          <t>Instrument Transformers (CT/VT)</t>
        </is>
      </c>
      <c r="B80" s="10" t="inlineStr">
        <is>
          <t>Voltage Transformers (VT)</t>
        </is>
      </c>
      <c r="C80" s="10" t="inlineStr">
        <is>
          <t>AMU VTs</t>
        </is>
      </c>
      <c r="D80" s="10" t="inlineStr">
        <is>
          <t>VT-1P-11K-02</t>
        </is>
      </c>
      <c r="E80" s="10" t="inlineStr">
        <is>
          <t>VT 11000/110V Class 0.2</t>
        </is>
      </c>
      <c r="F80" s="10" t="inlineStr">
        <is>
          <t>Voltage Transformer Single-Phase 11000/110V High Accuracy Set of 3</t>
        </is>
      </c>
      <c r="G80" s="9" t="inlineStr">
        <is>
          <t>11kV / 22kV</t>
        </is>
      </c>
      <c r="H80" s="9" t="inlineStr">
        <is>
          <t>110V Secondary</t>
        </is>
      </c>
      <c r="I80" s="9" t="inlineStr">
        <is>
          <t>-</t>
        </is>
      </c>
      <c r="J80" s="10" t="inlineStr">
        <is>
          <t>DIN 42600 narrow form</t>
        </is>
      </c>
      <c r="K80" s="9" t="inlineStr">
        <is>
          <t>IP00 (Inside Enclosure)</t>
        </is>
      </c>
      <c r="L80" s="10" t="inlineStr">
        <is>
          <t>DIN 42600 narrow type standard; Epoxy resin cast; Primary voltage: 11kV / 22kV; Secondary voltage: 110V; Burden: 30/50VA; Class: Class 0.2</t>
        </is>
      </c>
      <c r="M80" s="9" t="inlineStr">
        <is>
          <t>USD / Upon Request</t>
        </is>
      </c>
      <c r="N80" s="12" t="inlineStr">
        <is>
          <t>Upon request</t>
        </is>
      </c>
      <c r="O80" s="11" t="n"/>
      <c r="P80" s="12">
        <f>IF(ISNUMBER(N80),N80*(1-O80),N80)</f>
        <v/>
      </c>
      <c r="Q80" s="9" t="inlineStr">
        <is>
          <t>Upon request</t>
        </is>
      </c>
      <c r="R80" s="10" t="inlineStr">
        <is>
          <t>Available to order (2-4 weeks)</t>
        </is>
      </c>
      <c r="S80" s="10" t="inlineStr">
        <is>
          <t>AMU Internal VT Bracket</t>
        </is>
      </c>
      <c r="T80" s="10" t="inlineStr">
        <is>
          <t>IEC 61869-3, DIN 42600</t>
        </is>
      </c>
      <c r="U80" s="9" t="inlineStr">
        <is>
          <t>Page 37</t>
        </is>
      </c>
    </row>
    <row r="81" ht="20" customHeight="1">
      <c r="A81" s="6" t="inlineStr">
        <is>
          <t>Instrument Transformers (CT/VT)</t>
        </is>
      </c>
      <c r="B81" s="6" t="inlineStr">
        <is>
          <t>Voltage Transformers (VT)</t>
        </is>
      </c>
      <c r="C81" s="6" t="inlineStr">
        <is>
          <t>AMU VTs</t>
        </is>
      </c>
      <c r="D81" s="6" t="inlineStr">
        <is>
          <t>VT-1P-11K-10</t>
        </is>
      </c>
      <c r="E81" s="6" t="inlineStr">
        <is>
          <t>VT 11000/110V Class 1.0</t>
        </is>
      </c>
      <c r="F81" s="6" t="inlineStr">
        <is>
          <t>Voltage Transformer Single-Phase 11000/110V Industrial Set of 3</t>
        </is>
      </c>
      <c r="G81" s="5" t="inlineStr">
        <is>
          <t>11kV / 22kV</t>
        </is>
      </c>
      <c r="H81" s="5" t="inlineStr">
        <is>
          <t>110V Secondary</t>
        </is>
      </c>
      <c r="I81" s="5" t="inlineStr">
        <is>
          <t>-</t>
        </is>
      </c>
      <c r="J81" s="6" t="inlineStr">
        <is>
          <t>DIN 42600 narrow form</t>
        </is>
      </c>
      <c r="K81" s="5" t="inlineStr">
        <is>
          <t>IP00 (Inside Enclosure)</t>
        </is>
      </c>
      <c r="L81" s="6" t="inlineStr">
        <is>
          <t>DIN 42600 narrow type standard; Epoxy resin cast; Primary voltage: 11kV / 22kV; Secondary voltage: 110V; Burden: 50VA; Class: Class 1.0</t>
        </is>
      </c>
      <c r="M81" s="5" t="inlineStr">
        <is>
          <t>USD / Upon Request</t>
        </is>
      </c>
      <c r="N81" s="8" t="inlineStr">
        <is>
          <t>Upon request</t>
        </is>
      </c>
      <c r="O81" s="7" t="n"/>
      <c r="P81" s="8">
        <f>IF(ISNUMBER(N81),N81*(1-O81),N81)</f>
        <v/>
      </c>
      <c r="Q81" s="5" t="inlineStr">
        <is>
          <t>Upon request</t>
        </is>
      </c>
      <c r="R81" s="6" t="inlineStr">
        <is>
          <t>Available to order (2-4 weeks)</t>
        </is>
      </c>
      <c r="S81" s="6" t="inlineStr">
        <is>
          <t>AMU Internal VT Bracket</t>
        </is>
      </c>
      <c r="T81" s="6" t="inlineStr">
        <is>
          <t>IEC 61869-3, DIN 42600</t>
        </is>
      </c>
      <c r="U81" s="5" t="inlineStr">
        <is>
          <t>Page 37</t>
        </is>
      </c>
    </row>
    <row r="82" ht="20" customHeight="1">
      <c r="A82" s="10" t="inlineStr">
        <is>
          <t>Instrument Transformers (CT/VT)</t>
        </is>
      </c>
      <c r="B82" s="10" t="inlineStr">
        <is>
          <t>Current Transformers (CT)</t>
        </is>
      </c>
      <c r="C82" s="10" t="inlineStr">
        <is>
          <t>Protection &amp; Metering CTs</t>
        </is>
      </c>
      <c r="D82" s="10" t="inlineStr">
        <is>
          <t>CT-AMU-50-25-1A</t>
        </is>
      </c>
      <c r="E82" s="10" t="inlineStr">
        <is>
          <t>CT 50-25/1A Class 0.2/0.5</t>
        </is>
      </c>
      <c r="F82" s="10" t="inlineStr">
        <is>
          <t>Current Transformer 50-25/1A Dual Ratio for AMU Metering</t>
        </is>
      </c>
      <c r="G82" s="9" t="inlineStr">
        <is>
          <t>Up to 24kV</t>
        </is>
      </c>
      <c r="H82" s="9" t="inlineStr">
        <is>
          <t>50-25/1A</t>
        </is>
      </c>
      <c r="I82" s="9" t="inlineStr">
        <is>
          <t>-</t>
        </is>
      </c>
      <c r="J82" s="10" t="inlineStr">
        <is>
          <t>Ring core bushing/cable mounted</t>
        </is>
      </c>
      <c r="K82" s="9" t="inlineStr">
        <is>
          <t>IP00 (Inside Enclosure)</t>
        </is>
      </c>
      <c r="L82" s="10" t="inlineStr">
        <is>
          <t>Ring type cast resin CT; Ratio: 50-25/1A; Burden: 10VA; Class: Class 0.2/0.5; Suitable for tariff metering or circuit breaker protection relay / TLF</t>
        </is>
      </c>
      <c r="M82" s="9" t="inlineStr">
        <is>
          <t>USD / Upon Request</t>
        </is>
      </c>
      <c r="N82" s="12" t="inlineStr">
        <is>
          <t>Upon request</t>
        </is>
      </c>
      <c r="O82" s="11" t="n"/>
      <c r="P82" s="12">
        <f>IF(ISNUMBER(N82),N82*(1-O82),N82)</f>
        <v/>
      </c>
      <c r="Q82" s="9" t="inlineStr">
        <is>
          <t>Upon request</t>
        </is>
      </c>
      <c r="R82" s="10" t="inlineStr">
        <is>
          <t>Available from stock (1-2 weeks)</t>
        </is>
      </c>
      <c r="S82" s="10" t="inlineStr">
        <is>
          <t>Over Bushings / Cables</t>
        </is>
      </c>
      <c r="T82" s="10" t="inlineStr">
        <is>
          <t>IEC 61869-2</t>
        </is>
      </c>
      <c r="U82" s="9" t="inlineStr">
        <is>
          <t>Page 37</t>
        </is>
      </c>
    </row>
    <row r="83" ht="20" customHeight="1">
      <c r="A83" s="6" t="inlineStr">
        <is>
          <t>Instrument Transformers (CT/VT)</t>
        </is>
      </c>
      <c r="B83" s="6" t="inlineStr">
        <is>
          <t>Current Transformers (CT)</t>
        </is>
      </c>
      <c r="C83" s="6" t="inlineStr">
        <is>
          <t>Protection &amp; Metering CTs</t>
        </is>
      </c>
      <c r="D83" s="6" t="inlineStr">
        <is>
          <t>CT-AMU-50-25-5A</t>
        </is>
      </c>
      <c r="E83" s="6" t="inlineStr">
        <is>
          <t>CT 50/25/5A Class 0.5</t>
        </is>
      </c>
      <c r="F83" s="6" t="inlineStr">
        <is>
          <t>Current Transformer 50/25/5A Dual Ratio for AMU Metering</t>
        </is>
      </c>
      <c r="G83" s="5" t="inlineStr">
        <is>
          <t>Up to 24kV</t>
        </is>
      </c>
      <c r="H83" s="5" t="inlineStr">
        <is>
          <t>50/25/5A</t>
        </is>
      </c>
      <c r="I83" s="5" t="inlineStr">
        <is>
          <t>-</t>
        </is>
      </c>
      <c r="J83" s="6" t="inlineStr">
        <is>
          <t>Ring core bushing/cable mounted</t>
        </is>
      </c>
      <c r="K83" s="5" t="inlineStr">
        <is>
          <t>IP00 (Inside Enclosure)</t>
        </is>
      </c>
      <c r="L83" s="6" t="inlineStr">
        <is>
          <t>Ring type cast resin CT; Ratio: 50/25/5A; Burden: 10VA; Class: Class 0.5; Suitable for tariff metering or circuit breaker protection relay / TLF</t>
        </is>
      </c>
      <c r="M83" s="5" t="inlineStr">
        <is>
          <t>USD / Upon Request</t>
        </is>
      </c>
      <c r="N83" s="8" t="inlineStr">
        <is>
          <t>Upon request</t>
        </is>
      </c>
      <c r="O83" s="7" t="n"/>
      <c r="P83" s="8">
        <f>IF(ISNUMBER(N83),N83*(1-O83),N83)</f>
        <v/>
      </c>
      <c r="Q83" s="5" t="inlineStr">
        <is>
          <t>Upon request</t>
        </is>
      </c>
      <c r="R83" s="6" t="inlineStr">
        <is>
          <t>Available from stock (1-2 weeks)</t>
        </is>
      </c>
      <c r="S83" s="6" t="inlineStr">
        <is>
          <t>Over Bushings / Cables</t>
        </is>
      </c>
      <c r="T83" s="6" t="inlineStr">
        <is>
          <t>IEC 61869-2</t>
        </is>
      </c>
      <c r="U83" s="5" t="inlineStr">
        <is>
          <t>Page 37</t>
        </is>
      </c>
    </row>
    <row r="84" ht="20" customHeight="1">
      <c r="A84" s="10" t="inlineStr">
        <is>
          <t>Instrument Transformers (CT/VT)</t>
        </is>
      </c>
      <c r="B84" s="10" t="inlineStr">
        <is>
          <t>Current Transformers (CT)</t>
        </is>
      </c>
      <c r="C84" s="10" t="inlineStr">
        <is>
          <t>Protection &amp; Metering CTs</t>
        </is>
      </c>
      <c r="D84" s="10" t="inlineStr">
        <is>
          <t>CT-AMU-100-50-1A</t>
        </is>
      </c>
      <c r="E84" s="10" t="inlineStr">
        <is>
          <t>CT 100-50/1A Class 0.2/0.5</t>
        </is>
      </c>
      <c r="F84" s="10" t="inlineStr">
        <is>
          <t>Current Transformer 100-50/1A Dual Ratio for AMU Metering</t>
        </is>
      </c>
      <c r="G84" s="9" t="inlineStr">
        <is>
          <t>Up to 24kV</t>
        </is>
      </c>
      <c r="H84" s="9" t="inlineStr">
        <is>
          <t>100-50/1A</t>
        </is>
      </c>
      <c r="I84" s="9" t="inlineStr">
        <is>
          <t>-</t>
        </is>
      </c>
      <c r="J84" s="10" t="inlineStr">
        <is>
          <t>Ring core bushing/cable mounted</t>
        </is>
      </c>
      <c r="K84" s="9" t="inlineStr">
        <is>
          <t>IP00 (Inside Enclosure)</t>
        </is>
      </c>
      <c r="L84" s="10" t="inlineStr">
        <is>
          <t>Ring type cast resin CT; Ratio: 100-50/1A; Burden: 10VA; Class: Class 0.2/0.5; Suitable for tariff metering or circuit breaker protection relay / TLF</t>
        </is>
      </c>
      <c r="M84" s="9" t="inlineStr">
        <is>
          <t>USD / Upon Request</t>
        </is>
      </c>
      <c r="N84" s="12" t="inlineStr">
        <is>
          <t>Upon request</t>
        </is>
      </c>
      <c r="O84" s="11" t="n"/>
      <c r="P84" s="12">
        <f>IF(ISNUMBER(N84),N84*(1-O84),N84)</f>
        <v/>
      </c>
      <c r="Q84" s="9" t="inlineStr">
        <is>
          <t>Upon request</t>
        </is>
      </c>
      <c r="R84" s="10" t="inlineStr">
        <is>
          <t>Available from stock (1-2 weeks)</t>
        </is>
      </c>
      <c r="S84" s="10" t="inlineStr">
        <is>
          <t>Over Bushings / Cables</t>
        </is>
      </c>
      <c r="T84" s="10" t="inlineStr">
        <is>
          <t>IEC 61869-2</t>
        </is>
      </c>
      <c r="U84" s="9" t="inlineStr">
        <is>
          <t>Page 37</t>
        </is>
      </c>
    </row>
    <row r="85" ht="20" customHeight="1">
      <c r="A85" s="6" t="inlineStr">
        <is>
          <t>Instrument Transformers (CT/VT)</t>
        </is>
      </c>
      <c r="B85" s="6" t="inlineStr">
        <is>
          <t>Current Transformers (CT)</t>
        </is>
      </c>
      <c r="C85" s="6" t="inlineStr">
        <is>
          <t>Protection &amp; Metering CTs</t>
        </is>
      </c>
      <c r="D85" s="6" t="inlineStr">
        <is>
          <t>CT-AMU-100-50-5A</t>
        </is>
      </c>
      <c r="E85" s="6" t="inlineStr">
        <is>
          <t>CT 100/50/5A Class 0.5</t>
        </is>
      </c>
      <c r="F85" s="6" t="inlineStr">
        <is>
          <t>Current Transformer 100/50/5A Dual Ratio for AMU Metering</t>
        </is>
      </c>
      <c r="G85" s="5" t="inlineStr">
        <is>
          <t>Up to 24kV</t>
        </is>
      </c>
      <c r="H85" s="5" t="inlineStr">
        <is>
          <t>100/50/5A</t>
        </is>
      </c>
      <c r="I85" s="5" t="inlineStr">
        <is>
          <t>-</t>
        </is>
      </c>
      <c r="J85" s="6" t="inlineStr">
        <is>
          <t>Ring core bushing/cable mounted</t>
        </is>
      </c>
      <c r="K85" s="5" t="inlineStr">
        <is>
          <t>IP00 (Inside Enclosure)</t>
        </is>
      </c>
      <c r="L85" s="6" t="inlineStr">
        <is>
          <t>Ring type cast resin CT; Ratio: 100/50/5A; Burden: 10/15VA; Class: Class 0.5; Suitable for tariff metering or circuit breaker protection relay / TLF</t>
        </is>
      </c>
      <c r="M85" s="5" t="inlineStr">
        <is>
          <t>USD / Upon Request</t>
        </is>
      </c>
      <c r="N85" s="8" t="inlineStr">
        <is>
          <t>Upon request</t>
        </is>
      </c>
      <c r="O85" s="7" t="n"/>
      <c r="P85" s="8">
        <f>IF(ISNUMBER(N85),N85*(1-O85),N85)</f>
        <v/>
      </c>
      <c r="Q85" s="5" t="inlineStr">
        <is>
          <t>Upon request</t>
        </is>
      </c>
      <c r="R85" s="6" t="inlineStr">
        <is>
          <t>Available from stock (1-2 weeks)</t>
        </is>
      </c>
      <c r="S85" s="6" t="inlineStr">
        <is>
          <t>Over Bushings / Cables</t>
        </is>
      </c>
      <c r="T85" s="6" t="inlineStr">
        <is>
          <t>IEC 61869-2</t>
        </is>
      </c>
      <c r="U85" s="5" t="inlineStr">
        <is>
          <t>Page 37</t>
        </is>
      </c>
    </row>
    <row r="86" ht="20" customHeight="1">
      <c r="A86" s="10" t="inlineStr">
        <is>
          <t>Instrument Transformers (CT/VT)</t>
        </is>
      </c>
      <c r="B86" s="10" t="inlineStr">
        <is>
          <t>Current Transformers (CT)</t>
        </is>
      </c>
      <c r="C86" s="10" t="inlineStr">
        <is>
          <t>Protection &amp; Metering CTs</t>
        </is>
      </c>
      <c r="D86" s="10" t="inlineStr">
        <is>
          <t>CT-AMU-200-100-1A</t>
        </is>
      </c>
      <c r="E86" s="10" t="inlineStr">
        <is>
          <t>CT 200-100/1A Class 0.2/0.5</t>
        </is>
      </c>
      <c r="F86" s="10" t="inlineStr">
        <is>
          <t>Current Transformer 200-100/1A Dual Ratio for AMU Metering</t>
        </is>
      </c>
      <c r="G86" s="9" t="inlineStr">
        <is>
          <t>Up to 24kV</t>
        </is>
      </c>
      <c r="H86" s="9" t="inlineStr">
        <is>
          <t>200-100/1A</t>
        </is>
      </c>
      <c r="I86" s="9" t="inlineStr">
        <is>
          <t>-</t>
        </is>
      </c>
      <c r="J86" s="10" t="inlineStr">
        <is>
          <t>Ring core bushing/cable mounted</t>
        </is>
      </c>
      <c r="K86" s="9" t="inlineStr">
        <is>
          <t>IP00 (Inside Enclosure)</t>
        </is>
      </c>
      <c r="L86" s="10" t="inlineStr">
        <is>
          <t>Ring type cast resin CT; Ratio: 200-100/1A; Burden: 10/15VA; Class: Class 0.2/0.5; Suitable for tariff metering or circuit breaker protection relay / TLF</t>
        </is>
      </c>
      <c r="M86" s="9" t="inlineStr">
        <is>
          <t>USD / Upon Request</t>
        </is>
      </c>
      <c r="N86" s="12" t="inlineStr">
        <is>
          <t>Upon request</t>
        </is>
      </c>
      <c r="O86" s="11" t="n"/>
      <c r="P86" s="12">
        <f>IF(ISNUMBER(N86),N86*(1-O86),N86)</f>
        <v/>
      </c>
      <c r="Q86" s="9" t="inlineStr">
        <is>
          <t>Upon request</t>
        </is>
      </c>
      <c r="R86" s="10" t="inlineStr">
        <is>
          <t>Available from stock (1-2 weeks)</t>
        </is>
      </c>
      <c r="S86" s="10" t="inlineStr">
        <is>
          <t>Over Bushings / Cables</t>
        </is>
      </c>
      <c r="T86" s="10" t="inlineStr">
        <is>
          <t>IEC 61869-2</t>
        </is>
      </c>
      <c r="U86" s="9" t="inlineStr">
        <is>
          <t>Page 37</t>
        </is>
      </c>
    </row>
    <row r="87" ht="20" customHeight="1">
      <c r="A87" s="6" t="inlineStr">
        <is>
          <t>Instrument Transformers (CT/VT)</t>
        </is>
      </c>
      <c r="B87" s="6" t="inlineStr">
        <is>
          <t>Current Transformers (CT)</t>
        </is>
      </c>
      <c r="C87" s="6" t="inlineStr">
        <is>
          <t>Protection &amp; Metering CTs</t>
        </is>
      </c>
      <c r="D87" s="6" t="inlineStr">
        <is>
          <t>CT-AMU-200-100-5A</t>
        </is>
      </c>
      <c r="E87" s="6" t="inlineStr">
        <is>
          <t>CT 200/100/5A Class 0.5</t>
        </is>
      </c>
      <c r="F87" s="6" t="inlineStr">
        <is>
          <t>Current Transformer 200/100/5A Dual Ratio for AMU Metering</t>
        </is>
      </c>
      <c r="G87" s="5" t="inlineStr">
        <is>
          <t>Up to 24kV</t>
        </is>
      </c>
      <c r="H87" s="5" t="inlineStr">
        <is>
          <t>200/100/5A</t>
        </is>
      </c>
      <c r="I87" s="5" t="inlineStr">
        <is>
          <t>-</t>
        </is>
      </c>
      <c r="J87" s="6" t="inlineStr">
        <is>
          <t>Ring core bushing/cable mounted</t>
        </is>
      </c>
      <c r="K87" s="5" t="inlineStr">
        <is>
          <t>IP00 (Inside Enclosure)</t>
        </is>
      </c>
      <c r="L87" s="6" t="inlineStr">
        <is>
          <t>Ring type cast resin CT; Ratio: 200/100/5A; Burden: 5/15VA; Class: Class 0.5; Suitable for tariff metering or circuit breaker protection relay / TLF</t>
        </is>
      </c>
      <c r="M87" s="5" t="inlineStr">
        <is>
          <t>USD / Upon Request</t>
        </is>
      </c>
      <c r="N87" s="8" t="inlineStr">
        <is>
          <t>Upon request</t>
        </is>
      </c>
      <c r="O87" s="7" t="n"/>
      <c r="P87" s="8">
        <f>IF(ISNUMBER(N87),N87*(1-O87),N87)</f>
        <v/>
      </c>
      <c r="Q87" s="5" t="inlineStr">
        <is>
          <t>Upon request</t>
        </is>
      </c>
      <c r="R87" s="6" t="inlineStr">
        <is>
          <t>Available from stock (1-2 weeks)</t>
        </is>
      </c>
      <c r="S87" s="6" t="inlineStr">
        <is>
          <t>Over Bushings / Cables</t>
        </is>
      </c>
      <c r="T87" s="6" t="inlineStr">
        <is>
          <t>IEC 61869-2</t>
        </is>
      </c>
      <c r="U87" s="5" t="inlineStr">
        <is>
          <t>Page 37</t>
        </is>
      </c>
    </row>
    <row r="88" ht="20" customHeight="1">
      <c r="A88" s="10" t="inlineStr">
        <is>
          <t>Instrument Transformers (CT/VT)</t>
        </is>
      </c>
      <c r="B88" s="10" t="inlineStr">
        <is>
          <t>Current Transformers (CT)</t>
        </is>
      </c>
      <c r="C88" s="10" t="inlineStr">
        <is>
          <t>Protection &amp; Metering CTs</t>
        </is>
      </c>
      <c r="D88" s="10" t="inlineStr">
        <is>
          <t>CT-AMU-300-150-5A</t>
        </is>
      </c>
      <c r="E88" s="10" t="inlineStr">
        <is>
          <t>CT 300/150/5A Class 0.5/1.0</t>
        </is>
      </c>
      <c r="F88" s="10" t="inlineStr">
        <is>
          <t>Current Transformer 300/150/5A Dual Ratio for AMU Metering</t>
        </is>
      </c>
      <c r="G88" s="9" t="inlineStr">
        <is>
          <t>Up to 24kV</t>
        </is>
      </c>
      <c r="H88" s="9" t="inlineStr">
        <is>
          <t>300/150/5A</t>
        </is>
      </c>
      <c r="I88" s="9" t="inlineStr">
        <is>
          <t>-</t>
        </is>
      </c>
      <c r="J88" s="10" t="inlineStr">
        <is>
          <t>Ring core bushing/cable mounted</t>
        </is>
      </c>
      <c r="K88" s="9" t="inlineStr">
        <is>
          <t>IP00 (Inside Enclosure)</t>
        </is>
      </c>
      <c r="L88" s="10" t="inlineStr">
        <is>
          <t>Ring type cast resin CT; Ratio: 300/150/5A; Burden: 5/15VA; Class: Class 0.5/1.0; Suitable for tariff metering or circuit breaker protection relay / TLF</t>
        </is>
      </c>
      <c r="M88" s="9" t="inlineStr">
        <is>
          <t>USD / Upon Request</t>
        </is>
      </c>
      <c r="N88" s="12" t="inlineStr">
        <is>
          <t>Upon request</t>
        </is>
      </c>
      <c r="O88" s="11" t="n"/>
      <c r="P88" s="12">
        <f>IF(ISNUMBER(N88),N88*(1-O88),N88)</f>
        <v/>
      </c>
      <c r="Q88" s="9" t="inlineStr">
        <is>
          <t>Upon request</t>
        </is>
      </c>
      <c r="R88" s="10" t="inlineStr">
        <is>
          <t>Available from stock (1-2 weeks)</t>
        </is>
      </c>
      <c r="S88" s="10" t="inlineStr">
        <is>
          <t>Over Bushings / Cables</t>
        </is>
      </c>
      <c r="T88" s="10" t="inlineStr">
        <is>
          <t>IEC 61869-2</t>
        </is>
      </c>
      <c r="U88" s="9" t="inlineStr">
        <is>
          <t>Page 37</t>
        </is>
      </c>
    </row>
    <row r="89" ht="20" customHeight="1">
      <c r="A89" s="6" t="inlineStr">
        <is>
          <t>Instrument Transformers (CT/VT)</t>
        </is>
      </c>
      <c r="B89" s="6" t="inlineStr">
        <is>
          <t>Current Transformers (CT)</t>
        </is>
      </c>
      <c r="C89" s="6" t="inlineStr">
        <is>
          <t>Protection &amp; Metering CTs</t>
        </is>
      </c>
      <c r="D89" s="6" t="inlineStr">
        <is>
          <t>CT-AMU-400-200-5A</t>
        </is>
      </c>
      <c r="E89" s="6" t="inlineStr">
        <is>
          <t>CT 400/200/5A Class 0.2/0.5</t>
        </is>
      </c>
      <c r="F89" s="6" t="inlineStr">
        <is>
          <t>Current Transformer 400/200/5A Dual Ratio for AMU Metering</t>
        </is>
      </c>
      <c r="G89" s="5" t="inlineStr">
        <is>
          <t>Up to 24kV</t>
        </is>
      </c>
      <c r="H89" s="5" t="inlineStr">
        <is>
          <t>400/200/5A</t>
        </is>
      </c>
      <c r="I89" s="5" t="inlineStr">
        <is>
          <t>-</t>
        </is>
      </c>
      <c r="J89" s="6" t="inlineStr">
        <is>
          <t>Ring core bushing/cable mounted</t>
        </is>
      </c>
      <c r="K89" s="5" t="inlineStr">
        <is>
          <t>IP00 (Inside Enclosure)</t>
        </is>
      </c>
      <c r="L89" s="6" t="inlineStr">
        <is>
          <t>Ring type cast resin CT; Ratio: 400/200/5A; Burden: 15/20VA; Class: Class 0.2/0.5; Suitable for tariff metering or circuit breaker protection relay / TLF</t>
        </is>
      </c>
      <c r="M89" s="5" t="inlineStr">
        <is>
          <t>USD / Upon Request</t>
        </is>
      </c>
      <c r="N89" s="8" t="inlineStr">
        <is>
          <t>Upon request</t>
        </is>
      </c>
      <c r="O89" s="7" t="n"/>
      <c r="P89" s="8">
        <f>IF(ISNUMBER(N89),N89*(1-O89),N89)</f>
        <v/>
      </c>
      <c r="Q89" s="5" t="inlineStr">
        <is>
          <t>Upon request</t>
        </is>
      </c>
      <c r="R89" s="6" t="inlineStr">
        <is>
          <t>Available from stock (1-2 weeks)</t>
        </is>
      </c>
      <c r="S89" s="6" t="inlineStr">
        <is>
          <t>Over Bushings / Cables</t>
        </is>
      </c>
      <c r="T89" s="6" t="inlineStr">
        <is>
          <t>IEC 61869-2</t>
        </is>
      </c>
      <c r="U89" s="5" t="inlineStr">
        <is>
          <t>Page 37</t>
        </is>
      </c>
    </row>
    <row r="90" ht="20" customHeight="1">
      <c r="A90" s="10" t="inlineStr">
        <is>
          <t>Instrument Transformers (CT/VT)</t>
        </is>
      </c>
      <c r="B90" s="10" t="inlineStr">
        <is>
          <t>Current Transformers (CT)</t>
        </is>
      </c>
      <c r="C90" s="10" t="inlineStr">
        <is>
          <t>Protection &amp; Metering CTs</t>
        </is>
      </c>
      <c r="D90" s="10" t="inlineStr">
        <is>
          <t>CT-PROT-100-50</t>
        </is>
      </c>
      <c r="E90" s="10" t="inlineStr">
        <is>
          <t>CT 100:50/- 5P10 Protection</t>
        </is>
      </c>
      <c r="F90" s="10" t="inlineStr">
        <is>
          <t>Protection Current Transformer Dual Primary Ratio 100:50/-</t>
        </is>
      </c>
      <c r="G90" s="9" t="inlineStr">
        <is>
          <t>Up to 24kV</t>
        </is>
      </c>
      <c r="H90" s="9" t="inlineStr">
        <is>
          <t>100:50/-</t>
        </is>
      </c>
      <c r="I90" s="9" t="inlineStr">
        <is>
          <t>-</t>
        </is>
      </c>
      <c r="J90" s="10" t="inlineStr">
        <is>
          <t>Ring core bushing/cable mounted</t>
        </is>
      </c>
      <c r="K90" s="9" t="inlineStr">
        <is>
          <t>IP00 (Inside Enclosure)</t>
        </is>
      </c>
      <c r="L90" s="10" t="inlineStr">
        <is>
          <t>Ring type cast resin CT; Ratio: 100:50/-; Burden: 15VA; Class: 5P10 Protection; Suitable for tariff metering or circuit breaker protection relay / TLF</t>
        </is>
      </c>
      <c r="M90" s="9" t="inlineStr">
        <is>
          <t>USD / Upon Request</t>
        </is>
      </c>
      <c r="N90" s="12" t="inlineStr">
        <is>
          <t>Upon request</t>
        </is>
      </c>
      <c r="O90" s="11" t="n"/>
      <c r="P90" s="12">
        <f>IF(ISNUMBER(N90),N90*(1-O90),N90)</f>
        <v/>
      </c>
      <c r="Q90" s="9" t="inlineStr">
        <is>
          <t>Upon request</t>
        </is>
      </c>
      <c r="R90" s="10" t="inlineStr">
        <is>
          <t>Available from stock (1-2 weeks)</t>
        </is>
      </c>
      <c r="S90" s="10" t="inlineStr">
        <is>
          <t>Over Bushings / Cables</t>
        </is>
      </c>
      <c r="T90" s="10" t="inlineStr">
        <is>
          <t>IEC 61869-2</t>
        </is>
      </c>
      <c r="U90" s="9" t="inlineStr">
        <is>
          <t>Page 46</t>
        </is>
      </c>
    </row>
    <row r="91" ht="20" customHeight="1">
      <c r="A91" s="6" t="inlineStr">
        <is>
          <t>Instrument Transformers (CT/VT)</t>
        </is>
      </c>
      <c r="B91" s="6" t="inlineStr">
        <is>
          <t>Current Transformers (CT)</t>
        </is>
      </c>
      <c r="C91" s="6" t="inlineStr">
        <is>
          <t>Protection &amp; Metering CTs</t>
        </is>
      </c>
      <c r="D91" s="6" t="inlineStr">
        <is>
          <t>CT-PROT-200-100</t>
        </is>
      </c>
      <c r="E91" s="6" t="inlineStr">
        <is>
          <t>CT 200:100/- 5P10 Protection</t>
        </is>
      </c>
      <c r="F91" s="6" t="inlineStr">
        <is>
          <t>Protection Current Transformer Dual Primary Ratio 200:100/-</t>
        </is>
      </c>
      <c r="G91" s="5" t="inlineStr">
        <is>
          <t>Up to 24kV</t>
        </is>
      </c>
      <c r="H91" s="5" t="inlineStr">
        <is>
          <t>200:100/-</t>
        </is>
      </c>
      <c r="I91" s="5" t="inlineStr">
        <is>
          <t>-</t>
        </is>
      </c>
      <c r="J91" s="6" t="inlineStr">
        <is>
          <t>Ring core bushing/cable mounted</t>
        </is>
      </c>
      <c r="K91" s="5" t="inlineStr">
        <is>
          <t>IP00 (Inside Enclosure)</t>
        </is>
      </c>
      <c r="L91" s="6" t="inlineStr">
        <is>
          <t>Ring type cast resin CT; Ratio: 200:100/-; Burden: 15VA; Class: 5P10 Protection; Suitable for tariff metering or circuit breaker protection relay / TLF</t>
        </is>
      </c>
      <c r="M91" s="5" t="inlineStr">
        <is>
          <t>USD / Upon Request</t>
        </is>
      </c>
      <c r="N91" s="8" t="inlineStr">
        <is>
          <t>Upon request</t>
        </is>
      </c>
      <c r="O91" s="7" t="n"/>
      <c r="P91" s="8">
        <f>IF(ISNUMBER(N91),N91*(1-O91),N91)</f>
        <v/>
      </c>
      <c r="Q91" s="5" t="inlineStr">
        <is>
          <t>Upon request</t>
        </is>
      </c>
      <c r="R91" s="6" t="inlineStr">
        <is>
          <t>Available from stock (1-2 weeks)</t>
        </is>
      </c>
      <c r="S91" s="6" t="inlineStr">
        <is>
          <t>Over Bushings / Cables</t>
        </is>
      </c>
      <c r="T91" s="6" t="inlineStr">
        <is>
          <t>IEC 61869-2</t>
        </is>
      </c>
      <c r="U91" s="5" t="inlineStr">
        <is>
          <t>Page 46</t>
        </is>
      </c>
    </row>
    <row r="92" ht="20" customHeight="1">
      <c r="A92" s="10" t="inlineStr">
        <is>
          <t>Instrument Transformers (CT/VT)</t>
        </is>
      </c>
      <c r="B92" s="10" t="inlineStr">
        <is>
          <t>Current Transformers (CT)</t>
        </is>
      </c>
      <c r="C92" s="10" t="inlineStr">
        <is>
          <t>Protection &amp; Metering CTs</t>
        </is>
      </c>
      <c r="D92" s="10" t="inlineStr">
        <is>
          <t>CT-PROT-150-100-50</t>
        </is>
      </c>
      <c r="E92" s="10" t="inlineStr">
        <is>
          <t>CT 150:100:50/- 5P10 Protection</t>
        </is>
      </c>
      <c r="F92" s="10" t="inlineStr">
        <is>
          <t>Protection Current Transformer Triple Primary Ratio 150:100:50/-</t>
        </is>
      </c>
      <c r="G92" s="9" t="inlineStr">
        <is>
          <t>Up to 24kV</t>
        </is>
      </c>
      <c r="H92" s="9" t="inlineStr">
        <is>
          <t>150:100:50/-</t>
        </is>
      </c>
      <c r="I92" s="9" t="inlineStr">
        <is>
          <t>-</t>
        </is>
      </c>
      <c r="J92" s="10" t="inlineStr">
        <is>
          <t>Ring core bushing/cable mounted</t>
        </is>
      </c>
      <c r="K92" s="9" t="inlineStr">
        <is>
          <t>IP00 (Inside Enclosure)</t>
        </is>
      </c>
      <c r="L92" s="10" t="inlineStr">
        <is>
          <t>Ring type cast resin CT; Ratio: 150:100:50/-; Burden: 15VA; Class: 5P10 Protection; Suitable for tariff metering or circuit breaker protection relay / TLF</t>
        </is>
      </c>
      <c r="M92" s="9" t="inlineStr">
        <is>
          <t>USD / Upon Request</t>
        </is>
      </c>
      <c r="N92" s="12" t="inlineStr">
        <is>
          <t>Upon request</t>
        </is>
      </c>
      <c r="O92" s="11" t="n"/>
      <c r="P92" s="12">
        <f>IF(ISNUMBER(N92),N92*(1-O92),N92)</f>
        <v/>
      </c>
      <c r="Q92" s="9" t="inlineStr">
        <is>
          <t>Upon request</t>
        </is>
      </c>
      <c r="R92" s="10" t="inlineStr">
        <is>
          <t>Available from stock (1-2 weeks)</t>
        </is>
      </c>
      <c r="S92" s="10" t="inlineStr">
        <is>
          <t>Over Bushings / Cables</t>
        </is>
      </c>
      <c r="T92" s="10" t="inlineStr">
        <is>
          <t>IEC 61869-2</t>
        </is>
      </c>
      <c r="U92" s="9" t="inlineStr">
        <is>
          <t>Page 46</t>
        </is>
      </c>
    </row>
    <row r="93" ht="20" customHeight="1">
      <c r="A93" s="6" t="inlineStr">
        <is>
          <t>Smart Grid RTU &amp; Automation</t>
        </is>
      </c>
      <c r="B93" s="6" t="inlineStr">
        <is>
          <t>Remote Terminal Units (RTU)</t>
        </is>
      </c>
      <c r="C93" s="6" t="inlineStr">
        <is>
          <t>Gemini 3</t>
        </is>
      </c>
      <c r="D93" s="6" t="inlineStr">
        <is>
          <t>G3-RTU-BASE</t>
        </is>
      </c>
      <c r="E93" s="6" t="inlineStr">
        <is>
          <t>Gemini 3 G3-RTU-BASE</t>
        </is>
      </c>
      <c r="F93" s="6" t="inlineStr">
        <is>
          <t>Gemini 3 Modular Remote Terminal Unit (RTU) Complete Base Unit</t>
        </is>
      </c>
      <c r="G93" s="5" t="inlineStr">
        <is>
          <t>24V DC</t>
        </is>
      </c>
      <c r="H93" s="5" t="inlineStr">
        <is>
          <t>-</t>
        </is>
      </c>
      <c r="I93" s="5" t="inlineStr">
        <is>
          <t>-</t>
        </is>
      </c>
      <c r="J93" s="6" t="inlineStr">
        <is>
          <t>Integrated Upper LV compartment</t>
        </is>
      </c>
      <c r="K93" s="5" t="inlineStr">
        <is>
          <t>IP41 / IP54 Enclosure</t>
        </is>
      </c>
      <c r="L93" s="6" t="inlineStr">
        <is>
          <t>Communication: Dual isolated Ethernet, RS232, isolated RS485; GSM/GPRS/Radio/Optic fibre ready; 7000 event non-volatile memory; SCADA synchronised real-time clock; ENATS compliant</t>
        </is>
      </c>
      <c r="M93" s="5" t="inlineStr">
        <is>
          <t>USD / Upon Request</t>
        </is>
      </c>
      <c r="N93" s="8" t="inlineStr">
        <is>
          <t>Upon request</t>
        </is>
      </c>
      <c r="O93" s="7" t="n"/>
      <c r="P93" s="8">
        <f>IF(ISNUMBER(N93),N93*(1-O93),N93)</f>
        <v/>
      </c>
      <c r="Q93" s="5" t="inlineStr">
        <is>
          <t>Upon request</t>
        </is>
      </c>
      <c r="R93" s="6" t="inlineStr">
        <is>
          <t>Available to order (2-4 weeks)</t>
        </is>
      </c>
      <c r="S93" s="6" t="inlineStr">
        <is>
          <t>Integrated Upper LV Compartment</t>
        </is>
      </c>
      <c r="T93" s="6" t="inlineStr">
        <is>
          <t>ENATS, IEC 60870-5-101/104, DNP 3.0, Modbus TCP/RTU</t>
        </is>
      </c>
      <c r="U93" s="5" t="inlineStr">
        <is>
          <t>Page 38</t>
        </is>
      </c>
    </row>
    <row r="94" ht="20" customHeight="1">
      <c r="A94" s="10" t="inlineStr">
        <is>
          <t>Smart Grid RTU &amp; Automation</t>
        </is>
      </c>
      <c r="B94" s="10" t="inlineStr">
        <is>
          <t>Remote Terminal Units (RTU)</t>
        </is>
      </c>
      <c r="C94" s="10" t="inlineStr">
        <is>
          <t>Gemini 3</t>
        </is>
      </c>
      <c r="D94" s="10" t="inlineStr">
        <is>
          <t>G3-MCM</t>
        </is>
      </c>
      <c r="E94" s="10" t="inlineStr">
        <is>
          <t>Gemini 3 G3-MCM</t>
        </is>
      </c>
      <c r="F94" s="10" t="inlineStr">
        <is>
          <t>Gemini 3 Master Control Module (Main Processor &amp; Protocol Communications)</t>
        </is>
      </c>
      <c r="G94" s="9" t="inlineStr">
        <is>
          <t>24V DC</t>
        </is>
      </c>
      <c r="H94" s="9" t="inlineStr">
        <is>
          <t>-</t>
        </is>
      </c>
      <c r="I94" s="9" t="inlineStr">
        <is>
          <t>-</t>
        </is>
      </c>
      <c r="J94" s="10" t="inlineStr">
        <is>
          <t>Integrated Upper LV compartment</t>
        </is>
      </c>
      <c r="K94" s="9" t="inlineStr">
        <is>
          <t>IP41 / IP54 Enclosure</t>
        </is>
      </c>
      <c r="L94" s="10" t="inlineStr">
        <is>
          <t>Communication: Dual isolated Ethernet, RS232, isolated RS485; GSM/GPRS/Radio/Optic fibre ready; 7000 event non-volatile memory; SCADA synchronised real-time clock; ENATS compliant</t>
        </is>
      </c>
      <c r="M94" s="9" t="inlineStr">
        <is>
          <t>USD / Upon Request</t>
        </is>
      </c>
      <c r="N94" s="12" t="inlineStr">
        <is>
          <t>Upon request</t>
        </is>
      </c>
      <c r="O94" s="11" t="n"/>
      <c r="P94" s="12">
        <f>IF(ISNUMBER(N94),N94*(1-O94),N94)</f>
        <v/>
      </c>
      <c r="Q94" s="9" t="inlineStr">
        <is>
          <t>Upon request</t>
        </is>
      </c>
      <c r="R94" s="10" t="inlineStr">
        <is>
          <t>Available to order (2-4 weeks)</t>
        </is>
      </c>
      <c r="S94" s="10" t="inlineStr">
        <is>
          <t>Integrated Upper LV Compartment</t>
        </is>
      </c>
      <c r="T94" s="10" t="inlineStr">
        <is>
          <t>ENATS, IEC 60870-5-101/104, DNP 3.0, Modbus TCP/RTU</t>
        </is>
      </c>
      <c r="U94" s="9" t="inlineStr">
        <is>
          <t>Page 38</t>
        </is>
      </c>
    </row>
    <row r="95" ht="20" customHeight="1">
      <c r="A95" s="6" t="inlineStr">
        <is>
          <t>Smart Grid RTU &amp; Automation</t>
        </is>
      </c>
      <c r="B95" s="6" t="inlineStr">
        <is>
          <t>Remote Terminal Units (RTU)</t>
        </is>
      </c>
      <c r="C95" s="6" t="inlineStr">
        <is>
          <t>Gemini 3</t>
        </is>
      </c>
      <c r="D95" s="6" t="inlineStr">
        <is>
          <t>G3-SSM</t>
        </is>
      </c>
      <c r="E95" s="6" t="inlineStr">
        <is>
          <t>Gemini 3 G3-SSM</t>
        </is>
      </c>
      <c r="F95" s="6" t="inlineStr">
        <is>
          <t>Gemini 3 Single Switch Module (Secure interlocked control of single switch)</t>
        </is>
      </c>
      <c r="G95" s="5" t="inlineStr">
        <is>
          <t>24V DC</t>
        </is>
      </c>
      <c r="H95" s="5" t="inlineStr">
        <is>
          <t>-</t>
        </is>
      </c>
      <c r="I95" s="5" t="inlineStr">
        <is>
          <t>-</t>
        </is>
      </c>
      <c r="J95" s="6" t="inlineStr">
        <is>
          <t>Integrated Upper LV compartment</t>
        </is>
      </c>
      <c r="K95" s="5" t="inlineStr">
        <is>
          <t>IP41 / IP54 Enclosure</t>
        </is>
      </c>
      <c r="L95" s="6" t="inlineStr">
        <is>
          <t>Communication: Dual isolated Ethernet, RS232, isolated RS485; GSM/GPRS/Radio/Optic fibre ready; 7000 event non-volatile memory; SCADA synchronised real-time clock; ENATS compliant</t>
        </is>
      </c>
      <c r="M95" s="5" t="inlineStr">
        <is>
          <t>USD / Upon Request</t>
        </is>
      </c>
      <c r="N95" s="8" t="inlineStr">
        <is>
          <t>Upon request</t>
        </is>
      </c>
      <c r="O95" s="7" t="n"/>
      <c r="P95" s="8">
        <f>IF(ISNUMBER(N95),N95*(1-O95),N95)</f>
        <v/>
      </c>
      <c r="Q95" s="5" t="inlineStr">
        <is>
          <t>Upon request</t>
        </is>
      </c>
      <c r="R95" s="6" t="inlineStr">
        <is>
          <t>Available to order (2-4 weeks)</t>
        </is>
      </c>
      <c r="S95" s="6" t="inlineStr">
        <is>
          <t>Integrated Upper LV Compartment</t>
        </is>
      </c>
      <c r="T95" s="6" t="inlineStr">
        <is>
          <t>ENATS, IEC 60870-5-101/104, DNP 3.0, Modbus TCP/RTU</t>
        </is>
      </c>
      <c r="U95" s="5" t="inlineStr">
        <is>
          <t>Page 38</t>
        </is>
      </c>
    </row>
    <row r="96" ht="20" customHeight="1">
      <c r="A96" s="10" t="inlineStr">
        <is>
          <t>Smart Grid RTU &amp; Automation</t>
        </is>
      </c>
      <c r="B96" s="10" t="inlineStr">
        <is>
          <t>Remote Terminal Units (RTU)</t>
        </is>
      </c>
      <c r="C96" s="10" t="inlineStr">
        <is>
          <t>Gemini 3</t>
        </is>
      </c>
      <c r="D96" s="10" t="inlineStr">
        <is>
          <t>G3-DSM</t>
        </is>
      </c>
      <c r="E96" s="10" t="inlineStr">
        <is>
          <t>Gemini 3 G3-DSM</t>
        </is>
      </c>
      <c r="F96" s="10" t="inlineStr">
        <is>
          <t>Gemini 3 Dual Switch Module (Secure interlocked control of two MV switches)</t>
        </is>
      </c>
      <c r="G96" s="9" t="inlineStr">
        <is>
          <t>24V DC</t>
        </is>
      </c>
      <c r="H96" s="9" t="inlineStr">
        <is>
          <t>-</t>
        </is>
      </c>
      <c r="I96" s="9" t="inlineStr">
        <is>
          <t>-</t>
        </is>
      </c>
      <c r="J96" s="10" t="inlineStr">
        <is>
          <t>Integrated Upper LV compartment</t>
        </is>
      </c>
      <c r="K96" s="9" t="inlineStr">
        <is>
          <t>IP41 / IP54 Enclosure</t>
        </is>
      </c>
      <c r="L96" s="10" t="inlineStr">
        <is>
          <t>Communication: Dual isolated Ethernet, RS232, isolated RS485; GSM/GPRS/Radio/Optic fibre ready; 7000 event non-volatile memory; SCADA synchronised real-time clock; ENATS compliant</t>
        </is>
      </c>
      <c r="M96" s="9" t="inlineStr">
        <is>
          <t>USD / Upon Request</t>
        </is>
      </c>
      <c r="N96" s="12" t="inlineStr">
        <is>
          <t>Upon request</t>
        </is>
      </c>
      <c r="O96" s="11" t="n"/>
      <c r="P96" s="12">
        <f>IF(ISNUMBER(N96),N96*(1-O96),N96)</f>
        <v/>
      </c>
      <c r="Q96" s="9" t="inlineStr">
        <is>
          <t>Upon request</t>
        </is>
      </c>
      <c r="R96" s="10" t="inlineStr">
        <is>
          <t>Available to order (2-4 weeks)</t>
        </is>
      </c>
      <c r="S96" s="10" t="inlineStr">
        <is>
          <t>Integrated Upper LV Compartment</t>
        </is>
      </c>
      <c r="T96" s="10" t="inlineStr">
        <is>
          <t>ENATS, IEC 60870-5-101/104, DNP 3.0, Modbus TCP/RTU</t>
        </is>
      </c>
      <c r="U96" s="9" t="inlineStr">
        <is>
          <t>Page 38</t>
        </is>
      </c>
    </row>
    <row r="97" ht="20" customHeight="1">
      <c r="A97" s="6" t="inlineStr">
        <is>
          <t>Smart Grid RTU &amp; Automation</t>
        </is>
      </c>
      <c r="B97" s="6" t="inlineStr">
        <is>
          <t>Remote Terminal Units (RTU)</t>
        </is>
      </c>
      <c r="C97" s="6" t="inlineStr">
        <is>
          <t>Gemini 3</t>
        </is>
      </c>
      <c r="D97" s="6" t="inlineStr">
        <is>
          <t>G3-PSM</t>
        </is>
      </c>
      <c r="E97" s="6" t="inlineStr">
        <is>
          <t>Gemini 3 G3-PSM</t>
        </is>
      </c>
      <c r="F97" s="6" t="inlineStr">
        <is>
          <t>Gemini 3 Power Supply Module with intelligent 24V DC battery charging</t>
        </is>
      </c>
      <c r="G97" s="5" t="inlineStr">
        <is>
          <t>110-240V AC / 24V DC</t>
        </is>
      </c>
      <c r="H97" s="5" t="inlineStr">
        <is>
          <t>-</t>
        </is>
      </c>
      <c r="I97" s="5" t="inlineStr">
        <is>
          <t>-</t>
        </is>
      </c>
      <c r="J97" s="6" t="inlineStr">
        <is>
          <t>Integrated Upper LV compartment</t>
        </is>
      </c>
      <c r="K97" s="5" t="inlineStr">
        <is>
          <t>IP41 / IP54 Enclosure</t>
        </is>
      </c>
      <c r="L97" s="6" t="inlineStr">
        <is>
          <t>Communication: Dual isolated Ethernet, RS232, isolated RS485; GSM/GPRS/Radio/Optic fibre ready; 7000 event non-volatile memory; SCADA synchronised real-time clock; ENATS compliant</t>
        </is>
      </c>
      <c r="M97" s="5" t="inlineStr">
        <is>
          <t>USD / Upon Request</t>
        </is>
      </c>
      <c r="N97" s="8" t="inlineStr">
        <is>
          <t>Upon request</t>
        </is>
      </c>
      <c r="O97" s="7" t="n"/>
      <c r="P97" s="8">
        <f>IF(ISNUMBER(N97),N97*(1-O97),N97)</f>
        <v/>
      </c>
      <c r="Q97" s="5" t="inlineStr">
        <is>
          <t>Upon request</t>
        </is>
      </c>
      <c r="R97" s="6" t="inlineStr">
        <is>
          <t>Available to order (2-4 weeks)</t>
        </is>
      </c>
      <c r="S97" s="6" t="inlineStr">
        <is>
          <t>Integrated Upper LV Compartment</t>
        </is>
      </c>
      <c r="T97" s="6" t="inlineStr">
        <is>
          <t>ENATS, IEC 60870-5-101/104, DNP 3.0, Modbus TCP/RTU</t>
        </is>
      </c>
      <c r="U97" s="5" t="inlineStr">
        <is>
          <t>Page 38</t>
        </is>
      </c>
    </row>
    <row r="98" ht="20" customHeight="1">
      <c r="A98" s="10" t="inlineStr">
        <is>
          <t>Smart Grid RTU &amp; Automation</t>
        </is>
      </c>
      <c r="B98" s="10" t="inlineStr">
        <is>
          <t>Remote Terminal Units (RTU)</t>
        </is>
      </c>
      <c r="C98" s="10" t="inlineStr">
        <is>
          <t>Gemini 3</t>
        </is>
      </c>
      <c r="D98" s="10" t="inlineStr">
        <is>
          <t>G3-IOM</t>
        </is>
      </c>
      <c r="E98" s="10" t="inlineStr">
        <is>
          <t>Gemini 3 G3-IOM</t>
        </is>
      </c>
      <c r="F98" s="10" t="inlineStr">
        <is>
          <t>Gemini 3 Input Output Module (Digital &amp; analogue inputs, relay outputs)</t>
        </is>
      </c>
      <c r="G98" s="9" t="inlineStr">
        <is>
          <t>24V DC</t>
        </is>
      </c>
      <c r="H98" s="9" t="inlineStr">
        <is>
          <t>-</t>
        </is>
      </c>
      <c r="I98" s="9" t="inlineStr">
        <is>
          <t>-</t>
        </is>
      </c>
      <c r="J98" s="10" t="inlineStr">
        <is>
          <t>Integrated Upper LV compartment</t>
        </is>
      </c>
      <c r="K98" s="9" t="inlineStr">
        <is>
          <t>IP41 / IP54 Enclosure</t>
        </is>
      </c>
      <c r="L98" s="10" t="inlineStr">
        <is>
          <t>Communication: Dual isolated Ethernet, RS232, isolated RS485; GSM/GPRS/Radio/Optic fibre ready; 7000 event non-volatile memory; SCADA synchronised real-time clock; ENATS compliant</t>
        </is>
      </c>
      <c r="M98" s="9" t="inlineStr">
        <is>
          <t>USD / Upon Request</t>
        </is>
      </c>
      <c r="N98" s="12" t="inlineStr">
        <is>
          <t>Upon request</t>
        </is>
      </c>
      <c r="O98" s="11" t="n"/>
      <c r="P98" s="12">
        <f>IF(ISNUMBER(N98),N98*(1-O98),N98)</f>
        <v/>
      </c>
      <c r="Q98" s="9" t="inlineStr">
        <is>
          <t>Upon request</t>
        </is>
      </c>
      <c r="R98" s="10" t="inlineStr">
        <is>
          <t>Available to order (2-4 weeks)</t>
        </is>
      </c>
      <c r="S98" s="10" t="inlineStr">
        <is>
          <t>Integrated Upper LV Compartment</t>
        </is>
      </c>
      <c r="T98" s="10" t="inlineStr">
        <is>
          <t>ENATS, IEC 60870-5-101/104, DNP 3.0, Modbus TCP/RTU</t>
        </is>
      </c>
      <c r="U98" s="9" t="inlineStr">
        <is>
          <t>Page 38</t>
        </is>
      </c>
    </row>
    <row r="99" ht="20" customHeight="1">
      <c r="A99" s="6" t="inlineStr">
        <is>
          <t>Smart Grid RTU &amp; Automation</t>
        </is>
      </c>
      <c r="B99" s="6" t="inlineStr">
        <is>
          <t>Remote Terminal Units (RTU)</t>
        </is>
      </c>
      <c r="C99" s="6" t="inlineStr">
        <is>
          <t>Gemini 3</t>
        </is>
      </c>
      <c r="D99" s="6" t="inlineStr">
        <is>
          <t>G3-FPM</t>
        </is>
      </c>
      <c r="E99" s="6" t="inlineStr">
        <is>
          <t>Gemini 3 G3-FPM</t>
        </is>
      </c>
      <c r="F99" s="6" t="inlineStr">
        <is>
          <t>Gemini 3 Fault Passage Module (Dual FPI overcurrent &amp; earth fault detection)</t>
        </is>
      </c>
      <c r="G99" s="5" t="inlineStr">
        <is>
          <t>24V DC</t>
        </is>
      </c>
      <c r="H99" s="5" t="inlineStr">
        <is>
          <t>-</t>
        </is>
      </c>
      <c r="I99" s="5" t="inlineStr">
        <is>
          <t>-</t>
        </is>
      </c>
      <c r="J99" s="6" t="inlineStr">
        <is>
          <t>Integrated Upper LV compartment</t>
        </is>
      </c>
      <c r="K99" s="5" t="inlineStr">
        <is>
          <t>IP41 / IP54 Enclosure</t>
        </is>
      </c>
      <c r="L99" s="6" t="inlineStr">
        <is>
          <t>Communication: Dual isolated Ethernet, RS232, isolated RS485; GSM/GPRS/Radio/Optic fibre ready; 7000 event non-volatile memory; SCADA synchronised real-time clock; ENATS compliant</t>
        </is>
      </c>
      <c r="M99" s="5" t="inlineStr">
        <is>
          <t>USD / Upon Request</t>
        </is>
      </c>
      <c r="N99" s="8" t="inlineStr">
        <is>
          <t>Upon request</t>
        </is>
      </c>
      <c r="O99" s="7" t="n"/>
      <c r="P99" s="8">
        <f>IF(ISNUMBER(N99),N99*(1-O99),N99)</f>
        <v/>
      </c>
      <c r="Q99" s="5" t="inlineStr">
        <is>
          <t>Upon request</t>
        </is>
      </c>
      <c r="R99" s="6" t="inlineStr">
        <is>
          <t>Available to order (2-4 weeks)</t>
        </is>
      </c>
      <c r="S99" s="6" t="inlineStr">
        <is>
          <t>Integrated Upper LV Compartment</t>
        </is>
      </c>
      <c r="T99" s="6" t="inlineStr">
        <is>
          <t>ENATS, IEC 60870-5-101/104, DNP 3.0, Modbus TCP/RTU</t>
        </is>
      </c>
      <c r="U99" s="5" t="inlineStr">
        <is>
          <t>Page 38</t>
        </is>
      </c>
    </row>
    <row r="100" ht="20" customHeight="1">
      <c r="A100" s="10" t="inlineStr">
        <is>
          <t>Smart Grid RTU &amp; Automation</t>
        </is>
      </c>
      <c r="B100" s="10" t="inlineStr">
        <is>
          <t>Remote Terminal Units (RTU)</t>
        </is>
      </c>
      <c r="C100" s="10" t="inlineStr">
        <is>
          <t>Gemini 3</t>
        </is>
      </c>
      <c r="D100" s="10" t="inlineStr">
        <is>
          <t>G3-HMI</t>
        </is>
      </c>
      <c r="E100" s="10" t="inlineStr">
        <is>
          <t>Gemini 3 G3-HMI</t>
        </is>
      </c>
      <c r="F100" s="10" t="inlineStr">
        <is>
          <t>Gemini 3 Human Machine Interface (Local LCD display and push-button control)</t>
        </is>
      </c>
      <c r="G100" s="9" t="inlineStr">
        <is>
          <t>24V DC</t>
        </is>
      </c>
      <c r="H100" s="9" t="inlineStr">
        <is>
          <t>-</t>
        </is>
      </c>
      <c r="I100" s="9" t="inlineStr">
        <is>
          <t>-</t>
        </is>
      </c>
      <c r="J100" s="10" t="inlineStr">
        <is>
          <t>Integrated Upper LV compartment</t>
        </is>
      </c>
      <c r="K100" s="9" t="inlineStr">
        <is>
          <t>IP41 / IP54 Enclosure</t>
        </is>
      </c>
      <c r="L100" s="10" t="inlineStr">
        <is>
          <t>Communication: Dual isolated Ethernet, RS232, isolated RS485; GSM/GPRS/Radio/Optic fibre ready; 7000 event non-volatile memory; SCADA synchronised real-time clock; ENATS compliant</t>
        </is>
      </c>
      <c r="M100" s="9" t="inlineStr">
        <is>
          <t>USD / Upon Request</t>
        </is>
      </c>
      <c r="N100" s="12" t="inlineStr">
        <is>
          <t>Upon request</t>
        </is>
      </c>
      <c r="O100" s="11" t="n"/>
      <c r="P100" s="12">
        <f>IF(ISNUMBER(N100),N100*(1-O100),N100)</f>
        <v/>
      </c>
      <c r="Q100" s="9" t="inlineStr">
        <is>
          <t>Upon request</t>
        </is>
      </c>
      <c r="R100" s="10" t="inlineStr">
        <is>
          <t>Available to order (2-4 weeks)</t>
        </is>
      </c>
      <c r="S100" s="10" t="inlineStr">
        <is>
          <t>Integrated Upper LV Compartment</t>
        </is>
      </c>
      <c r="T100" s="10" t="inlineStr">
        <is>
          <t>ENATS, IEC 60870-5-101/104, DNP 3.0, Modbus TCP/RTU</t>
        </is>
      </c>
      <c r="U100" s="9" t="inlineStr">
        <is>
          <t>Page 38</t>
        </is>
      </c>
    </row>
    <row r="101" ht="20" customHeight="1">
      <c r="A101" s="6" t="inlineStr">
        <is>
          <t>Smart Grid RTU &amp; Automation</t>
        </is>
      </c>
      <c r="B101" s="6" t="inlineStr">
        <is>
          <t>Remote Terminal Units (RTU)</t>
        </is>
      </c>
      <c r="C101" s="6" t="inlineStr">
        <is>
          <t>Gemini 3</t>
        </is>
      </c>
      <c r="D101" s="6" t="inlineStr">
        <is>
          <t>AGP-ATS-PACKAGE</t>
        </is>
      </c>
      <c r="E101" s="6" t="inlineStr">
        <is>
          <t>Gemini 3 AGP-ATS-PACKAGE</t>
        </is>
      </c>
      <c r="F101" s="6" t="inlineStr">
        <is>
          <t>Automatic Transfer Scheme (ATS) Automation Package with Gemini 3 RTU</t>
        </is>
      </c>
      <c r="G101" s="5" t="inlineStr">
        <is>
          <t>24V DC / Mains</t>
        </is>
      </c>
      <c r="H101" s="5" t="inlineStr">
        <is>
          <t>-</t>
        </is>
      </c>
      <c r="I101" s="5" t="inlineStr">
        <is>
          <t>-</t>
        </is>
      </c>
      <c r="J101" s="6" t="inlineStr">
        <is>
          <t>Integrated Upper LV compartment</t>
        </is>
      </c>
      <c r="K101" s="5" t="inlineStr">
        <is>
          <t>IP41 / IP54 Enclosure</t>
        </is>
      </c>
      <c r="L101" s="6" t="inlineStr">
        <is>
          <t>Communication: Dual isolated Ethernet, RS232, isolated RS485; GSM/GPRS/Radio/Optic fibre ready; 7000 event non-volatile memory; SCADA synchronised real-time clock; ENATS compliant</t>
        </is>
      </c>
      <c r="M101" s="5" t="inlineStr">
        <is>
          <t>USD / Upon Request</t>
        </is>
      </c>
      <c r="N101" s="8" t="inlineStr">
        <is>
          <t>Upon request</t>
        </is>
      </c>
      <c r="O101" s="7" t="n"/>
      <c r="P101" s="8">
        <f>IF(ISNUMBER(N101),N101*(1-O101),N101)</f>
        <v/>
      </c>
      <c r="Q101" s="5" t="inlineStr">
        <is>
          <t>Upon request</t>
        </is>
      </c>
      <c r="R101" s="6" t="inlineStr">
        <is>
          <t>Available to order (2-4 weeks)</t>
        </is>
      </c>
      <c r="S101" s="6" t="inlineStr">
        <is>
          <t>Integrated Upper LV Compartment</t>
        </is>
      </c>
      <c r="T101" s="6" t="inlineStr">
        <is>
          <t>ENATS, IEC 60870-5-101/104, DNP 3.0, Modbus TCP/RTU</t>
        </is>
      </c>
      <c r="U101" s="5" t="inlineStr">
        <is>
          <t>Page 39</t>
        </is>
      </c>
    </row>
    <row r="102" ht="20" customHeight="1">
      <c r="A102" s="10" t="inlineStr">
        <is>
          <t>Circuit Breaker Protection (TLF)</t>
        </is>
      </c>
      <c r="B102" s="10" t="inlineStr">
        <is>
          <t>Protection Fuses &amp; Links</t>
        </is>
      </c>
      <c r="C102" s="10" t="inlineStr">
        <is>
          <t>Aegis Protection</t>
        </is>
      </c>
      <c r="D102" s="10" t="inlineStr">
        <is>
          <t>TLF-3A</t>
        </is>
      </c>
      <c r="E102" s="10" t="inlineStr">
        <is>
          <t>Fuse Link 3A</t>
        </is>
      </c>
      <c r="F102" s="10" t="inlineStr">
        <is>
          <t>Time Limit Fuse Link 3A (57mm x 13mm) for Transformer Fault Protection</t>
        </is>
      </c>
      <c r="G102" s="9" t="inlineStr">
        <is>
          <t>3.3 - 24kV</t>
        </is>
      </c>
      <c r="H102" s="9" t="inlineStr">
        <is>
          <t>3A</t>
        </is>
      </c>
      <c r="I102" s="9" t="inlineStr">
        <is>
          <t>Fast trip via shunt coil</t>
        </is>
      </c>
      <c r="J102" s="10" t="inlineStr">
        <is>
          <t>57mm x 13mm</t>
        </is>
      </c>
      <c r="K102" s="9" t="inlineStr">
        <is>
          <t>IP41 (Internal)</t>
        </is>
      </c>
      <c r="L102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2" s="9" t="inlineStr">
        <is>
          <t>USD</t>
        </is>
      </c>
      <c r="N102" s="13" t="n">
        <v>5</v>
      </c>
      <c r="O102" s="11" t="n"/>
      <c r="P102" s="13">
        <f>IF(ISNUMBER(N102),N102*(1-O102),N102)</f>
        <v/>
      </c>
      <c r="Q102" s="9" t="inlineStr">
        <is>
          <t>Quoted in Catalogue</t>
        </is>
      </c>
      <c r="R102" s="10" t="inlineStr">
        <is>
          <t>In Stock (Immediate Dispatch)</t>
        </is>
      </c>
      <c r="S102" s="10" t="inlineStr">
        <is>
          <t>Fuse Clips in Front LV Panel</t>
        </is>
      </c>
      <c r="T102" s="10" t="inlineStr">
        <is>
          <t>ENA TS 12-6, ENA TS 41-36, IEC 62271-105</t>
        </is>
      </c>
      <c r="U102" s="9" t="inlineStr">
        <is>
          <t>Page 23</t>
        </is>
      </c>
    </row>
    <row r="103" ht="20" customHeight="1">
      <c r="A103" s="6" t="inlineStr">
        <is>
          <t>Circuit Breaker Protection (TLF)</t>
        </is>
      </c>
      <c r="B103" s="6" t="inlineStr">
        <is>
          <t>Protection Fuses &amp; Links</t>
        </is>
      </c>
      <c r="C103" s="6" t="inlineStr">
        <is>
          <t>Aegis Protection</t>
        </is>
      </c>
      <c r="D103" s="6" t="inlineStr">
        <is>
          <t>TLF-5A</t>
        </is>
      </c>
      <c r="E103" s="6" t="inlineStr">
        <is>
          <t>Fuse Link 5A</t>
        </is>
      </c>
      <c r="F103" s="6" t="inlineStr">
        <is>
          <t>Time Limit Fuse Link 5A (57mm x 13mm) for Transformer Fault Protection</t>
        </is>
      </c>
      <c r="G103" s="5" t="inlineStr">
        <is>
          <t>3.3 - 24kV</t>
        </is>
      </c>
      <c r="H103" s="5" t="inlineStr">
        <is>
          <t>5A</t>
        </is>
      </c>
      <c r="I103" s="5" t="inlineStr">
        <is>
          <t>Fast trip via shunt coil</t>
        </is>
      </c>
      <c r="J103" s="6" t="inlineStr">
        <is>
          <t>57mm x 13mm</t>
        </is>
      </c>
      <c r="K103" s="5" t="inlineStr">
        <is>
          <t>IP41 (Internal)</t>
        </is>
      </c>
      <c r="L103" s="6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3" s="5" t="inlineStr">
        <is>
          <t>USD</t>
        </is>
      </c>
      <c r="N103" s="14" t="n">
        <v>5</v>
      </c>
      <c r="O103" s="7" t="n"/>
      <c r="P103" s="14">
        <f>IF(ISNUMBER(N103),N103*(1-O103),N103)</f>
        <v/>
      </c>
      <c r="Q103" s="5" t="inlineStr">
        <is>
          <t>Quoted in Catalogue</t>
        </is>
      </c>
      <c r="R103" s="6" t="inlineStr">
        <is>
          <t>In Stock (Immediate Dispatch)</t>
        </is>
      </c>
      <c r="S103" s="6" t="inlineStr">
        <is>
          <t>Fuse Clips in Front LV Panel</t>
        </is>
      </c>
      <c r="T103" s="6" t="inlineStr">
        <is>
          <t>ENA TS 12-6, ENA TS 41-36, IEC 62271-105</t>
        </is>
      </c>
      <c r="U103" s="5" t="inlineStr">
        <is>
          <t>Page 23</t>
        </is>
      </c>
    </row>
    <row r="104" ht="20" customHeight="1">
      <c r="A104" s="10" t="inlineStr">
        <is>
          <t>Circuit Breaker Protection (TLF)</t>
        </is>
      </c>
      <c r="B104" s="10" t="inlineStr">
        <is>
          <t>Protection Fuses &amp; Links</t>
        </is>
      </c>
      <c r="C104" s="10" t="inlineStr">
        <is>
          <t>Aegis Protection</t>
        </is>
      </c>
      <c r="D104" s="10" t="inlineStr">
        <is>
          <t>TLF-7.5A</t>
        </is>
      </c>
      <c r="E104" s="10" t="inlineStr">
        <is>
          <t>Fuse Link 7.5A</t>
        </is>
      </c>
      <c r="F104" s="10" t="inlineStr">
        <is>
          <t>Time Limit Fuse Link 7.5A (57mm x 13mm) for Transformer Fault Protection</t>
        </is>
      </c>
      <c r="G104" s="9" t="inlineStr">
        <is>
          <t>3.3 - 24kV</t>
        </is>
      </c>
      <c r="H104" s="9" t="inlineStr">
        <is>
          <t>7.5A</t>
        </is>
      </c>
      <c r="I104" s="9" t="inlineStr">
        <is>
          <t>Fast trip via shunt coil</t>
        </is>
      </c>
      <c r="J104" s="10" t="inlineStr">
        <is>
          <t>57mm x 13mm</t>
        </is>
      </c>
      <c r="K104" s="9" t="inlineStr">
        <is>
          <t>IP41 (Internal)</t>
        </is>
      </c>
      <c r="L104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4" s="9" t="inlineStr">
        <is>
          <t>USD</t>
        </is>
      </c>
      <c r="N104" s="13" t="n">
        <v>5</v>
      </c>
      <c r="O104" s="11" t="n"/>
      <c r="P104" s="13">
        <f>IF(ISNUMBER(N104),N104*(1-O104),N104)</f>
        <v/>
      </c>
      <c r="Q104" s="9" t="inlineStr">
        <is>
          <t>Quoted in Catalogue</t>
        </is>
      </c>
      <c r="R104" s="10" t="inlineStr">
        <is>
          <t>In Stock (Immediate Dispatch)</t>
        </is>
      </c>
      <c r="S104" s="10" t="inlineStr">
        <is>
          <t>Fuse Clips in Front LV Panel</t>
        </is>
      </c>
      <c r="T104" s="10" t="inlineStr">
        <is>
          <t>ENA TS 12-6, ENA TS 41-36, IEC 62271-105</t>
        </is>
      </c>
      <c r="U104" s="9" t="inlineStr">
        <is>
          <t>Page 23</t>
        </is>
      </c>
    </row>
    <row r="105" ht="20" customHeight="1">
      <c r="A105" s="6" t="inlineStr">
        <is>
          <t>Circuit Breaker Protection (TLF)</t>
        </is>
      </c>
      <c r="B105" s="6" t="inlineStr">
        <is>
          <t>Protection Fuses &amp; Links</t>
        </is>
      </c>
      <c r="C105" s="6" t="inlineStr">
        <is>
          <t>Aegis Protection</t>
        </is>
      </c>
      <c r="D105" s="6" t="inlineStr">
        <is>
          <t>TLF-10A</t>
        </is>
      </c>
      <c r="E105" s="6" t="inlineStr">
        <is>
          <t>Fuse Link 10A</t>
        </is>
      </c>
      <c r="F105" s="6" t="inlineStr">
        <is>
          <t>Time Limit Fuse Link 10A (57mm x 13mm) for Transformer Fault Protection</t>
        </is>
      </c>
      <c r="G105" s="5" t="inlineStr">
        <is>
          <t>3.3 - 24kV</t>
        </is>
      </c>
      <c r="H105" s="5" t="inlineStr">
        <is>
          <t>10A</t>
        </is>
      </c>
      <c r="I105" s="5" t="inlineStr">
        <is>
          <t>Fast trip via shunt coil</t>
        </is>
      </c>
      <c r="J105" s="6" t="inlineStr">
        <is>
          <t>57mm x 13mm</t>
        </is>
      </c>
      <c r="K105" s="5" t="inlineStr">
        <is>
          <t>IP41 (Internal)</t>
        </is>
      </c>
      <c r="L105" s="6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5" s="5" t="inlineStr">
        <is>
          <t>USD</t>
        </is>
      </c>
      <c r="N105" s="14" t="n">
        <v>5</v>
      </c>
      <c r="O105" s="7" t="n"/>
      <c r="P105" s="14">
        <f>IF(ISNUMBER(N105),N105*(1-O105),N105)</f>
        <v/>
      </c>
      <c r="Q105" s="5" t="inlineStr">
        <is>
          <t>Quoted in Catalogue</t>
        </is>
      </c>
      <c r="R105" s="6" t="inlineStr">
        <is>
          <t>In Stock (Immediate Dispatch)</t>
        </is>
      </c>
      <c r="S105" s="6" t="inlineStr">
        <is>
          <t>Fuse Clips in Front LV Panel</t>
        </is>
      </c>
      <c r="T105" s="6" t="inlineStr">
        <is>
          <t>ENA TS 12-6, ENA TS 41-36, IEC 62271-105</t>
        </is>
      </c>
      <c r="U105" s="5" t="inlineStr">
        <is>
          <t>Page 23</t>
        </is>
      </c>
    </row>
    <row r="106" ht="20" customHeight="1">
      <c r="A106" s="10" t="inlineStr">
        <is>
          <t>Circuit Breaker Protection (TLF)</t>
        </is>
      </c>
      <c r="B106" s="10" t="inlineStr">
        <is>
          <t>Protection Fuses &amp; Links</t>
        </is>
      </c>
      <c r="C106" s="10" t="inlineStr">
        <is>
          <t>Aegis Protection</t>
        </is>
      </c>
      <c r="D106" s="10" t="inlineStr">
        <is>
          <t>TLF-12.5A</t>
        </is>
      </c>
      <c r="E106" s="10" t="inlineStr">
        <is>
          <t>Fuse Link 12.5A</t>
        </is>
      </c>
      <c r="F106" s="10" t="inlineStr">
        <is>
          <t>Time Limit Fuse Link 12.5A (57mm x 13mm) for Transformer Fault Protection</t>
        </is>
      </c>
      <c r="G106" s="9" t="inlineStr">
        <is>
          <t>3.3 - 24kV</t>
        </is>
      </c>
      <c r="H106" s="9" t="inlineStr">
        <is>
          <t>12.5A</t>
        </is>
      </c>
      <c r="I106" s="9" t="inlineStr">
        <is>
          <t>Fast trip via shunt coil</t>
        </is>
      </c>
      <c r="J106" s="10" t="inlineStr">
        <is>
          <t>57mm x 13mm</t>
        </is>
      </c>
      <c r="K106" s="9" t="inlineStr">
        <is>
          <t>IP41 (Internal)</t>
        </is>
      </c>
      <c r="L106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6" s="9" t="inlineStr">
        <is>
          <t>USD</t>
        </is>
      </c>
      <c r="N106" s="13" t="n">
        <v>5</v>
      </c>
      <c r="O106" s="11" t="n"/>
      <c r="P106" s="13">
        <f>IF(ISNUMBER(N106),N106*(1-O106),N106)</f>
        <v/>
      </c>
      <c r="Q106" s="9" t="inlineStr">
        <is>
          <t>Quoted in Catalogue</t>
        </is>
      </c>
      <c r="R106" s="10" t="inlineStr">
        <is>
          <t>In Stock (Immediate Dispatch)</t>
        </is>
      </c>
      <c r="S106" s="10" t="inlineStr">
        <is>
          <t>Fuse Clips in Front LV Panel</t>
        </is>
      </c>
      <c r="T106" s="10" t="inlineStr">
        <is>
          <t>ENA TS 12-6, ENA TS 41-36, IEC 62271-105</t>
        </is>
      </c>
      <c r="U106" s="9" t="inlineStr">
        <is>
          <t>Page 23</t>
        </is>
      </c>
    </row>
    <row r="107" ht="20" customHeight="1">
      <c r="A107" s="6" t="inlineStr">
        <is>
          <t>Circuit Breaker Protection (TLF)</t>
        </is>
      </c>
      <c r="B107" s="6" t="inlineStr">
        <is>
          <t>Protection Fuses &amp; Links</t>
        </is>
      </c>
      <c r="C107" s="6" t="inlineStr">
        <is>
          <t>Aegis Protection</t>
        </is>
      </c>
      <c r="D107" s="6" t="inlineStr">
        <is>
          <t>TLF-15A</t>
        </is>
      </c>
      <c r="E107" s="6" t="inlineStr">
        <is>
          <t>Fuse Link 15A</t>
        </is>
      </c>
      <c r="F107" s="6" t="inlineStr">
        <is>
          <t>Time Limit Fuse Link 15A (57mm x 13mm) for Transformer Fault Protection</t>
        </is>
      </c>
      <c r="G107" s="5" t="inlineStr">
        <is>
          <t>3.3 - 24kV</t>
        </is>
      </c>
      <c r="H107" s="5" t="inlineStr">
        <is>
          <t>15A</t>
        </is>
      </c>
      <c r="I107" s="5" t="inlineStr">
        <is>
          <t>Fast trip via shunt coil</t>
        </is>
      </c>
      <c r="J107" s="6" t="inlineStr">
        <is>
          <t>57mm x 13mm</t>
        </is>
      </c>
      <c r="K107" s="5" t="inlineStr">
        <is>
          <t>IP41 (Internal)</t>
        </is>
      </c>
      <c r="L107" s="6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7" s="5" t="inlineStr">
        <is>
          <t>USD</t>
        </is>
      </c>
      <c r="N107" s="14" t="n">
        <v>5</v>
      </c>
      <c r="O107" s="7" t="n"/>
      <c r="P107" s="14">
        <f>IF(ISNUMBER(N107),N107*(1-O107),N107)</f>
        <v/>
      </c>
      <c r="Q107" s="5" t="inlineStr">
        <is>
          <t>Quoted in Catalogue</t>
        </is>
      </c>
      <c r="R107" s="6" t="inlineStr">
        <is>
          <t>In Stock (Immediate Dispatch)</t>
        </is>
      </c>
      <c r="S107" s="6" t="inlineStr">
        <is>
          <t>Fuse Clips in Front LV Panel</t>
        </is>
      </c>
      <c r="T107" s="6" t="inlineStr">
        <is>
          <t>ENA TS 12-6, ENA TS 41-36, IEC 62271-105</t>
        </is>
      </c>
      <c r="U107" s="5" t="inlineStr">
        <is>
          <t>Page 23</t>
        </is>
      </c>
    </row>
    <row r="108" ht="20" customHeight="1">
      <c r="A108" s="10" t="inlineStr">
        <is>
          <t>Circuit Breaker Protection (TLF)</t>
        </is>
      </c>
      <c r="B108" s="10" t="inlineStr">
        <is>
          <t>Protection Fuses &amp; Links</t>
        </is>
      </c>
      <c r="C108" s="10" t="inlineStr">
        <is>
          <t>Aegis Protection</t>
        </is>
      </c>
      <c r="D108" s="10" t="inlineStr">
        <is>
          <t>HV-FUSE-SET</t>
        </is>
      </c>
      <c r="E108" s="10" t="inlineStr">
        <is>
          <t>Fuse Link Up to 200A</t>
        </is>
      </c>
      <c r="F108" s="10" t="inlineStr">
        <is>
          <t>High Voltage Fuse-Links Set for F Switch (Transformer Protection up to 1000kVA)</t>
        </is>
      </c>
      <c r="G108" s="9" t="inlineStr">
        <is>
          <t>12 - 24kV</t>
        </is>
      </c>
      <c r="H108" s="9" t="inlineStr">
        <is>
          <t>Up to 200A</t>
        </is>
      </c>
      <c r="I108" s="9" t="inlineStr">
        <is>
          <t>Fast trip via shunt coil</t>
        </is>
      </c>
      <c r="J108" s="10" t="inlineStr">
        <is>
          <t>Standard DIN HV fuse</t>
        </is>
      </c>
      <c r="K108" s="9" t="inlineStr">
        <is>
          <t>IP41 (Internal)</t>
        </is>
      </c>
      <c r="L108" s="10" t="inlineStr">
        <is>
          <t>Fuse dimensions: Length 57mm x Diameter 13mm; Shunted with circuit breaker trip coil fed from CT; Zero capacitor charging time lag; Overcurrent &amp; earth fault protection; Standards: ENA TS 12-6, ENA TS 41-36</t>
        </is>
      </c>
      <c r="M108" s="9" t="inlineStr">
        <is>
          <t>USD</t>
        </is>
      </c>
      <c r="N108" s="13" t="n">
        <v>50</v>
      </c>
      <c r="O108" s="11" t="n"/>
      <c r="P108" s="13">
        <f>IF(ISNUMBER(N108),N108*(1-O108),N108)</f>
        <v/>
      </c>
      <c r="Q108" s="9" t="inlineStr">
        <is>
          <t>Quoted in Catalogue</t>
        </is>
      </c>
      <c r="R108" s="10" t="inlineStr">
        <is>
          <t>In Stock (Immediate Dispatch)</t>
        </is>
      </c>
      <c r="S108" s="10" t="inlineStr">
        <is>
          <t>Fuse Clips in Front LV Panel</t>
        </is>
      </c>
      <c r="T108" s="10" t="inlineStr">
        <is>
          <t>ENA TS 12-6, ENA TS 41-36, IEC 62271-105</t>
        </is>
      </c>
      <c r="U108" s="9" t="inlineStr">
        <is>
          <t>Page 23</t>
        </is>
      </c>
    </row>
    <row r="109" ht="20" customHeight="1">
      <c r="A109" s="6" t="inlineStr">
        <is>
          <t>Protection Relays</t>
        </is>
      </c>
      <c r="B109" s="6" t="inlineStr">
        <is>
          <t>Numerical &amp; Self-Powered Relays</t>
        </is>
      </c>
      <c r="C109" s="6" t="inlineStr">
        <is>
          <t>Woodward Relay Series</t>
        </is>
      </c>
      <c r="D109" s="6" t="inlineStr">
        <is>
          <t>WIP1</t>
        </is>
      </c>
      <c r="E109" s="6" t="inlineStr">
        <is>
          <t>Woodward WIP1</t>
        </is>
      </c>
      <c r="F109" s="6" t="inlineStr">
        <is>
          <t>WIP1 Self &amp; Dual Powered Overcurrent &amp; Earth Fault Protection Relay</t>
        </is>
      </c>
      <c r="G109" s="5" t="inlineStr">
        <is>
          <t>Self-powered from CT / Aux 24-230V AC/DC</t>
        </is>
      </c>
      <c r="H109" s="5" t="inlineStr">
        <is>
          <t>1A / 5A CT Secondary</t>
        </is>
      </c>
      <c r="I109" s="5" t="inlineStr">
        <is>
          <t>-</t>
        </is>
      </c>
      <c r="J109" s="6" t="inlineStr">
        <is>
          <t>Standard DIN Flush Panel Mount</t>
        </is>
      </c>
      <c r="K109" s="5" t="inlineStr">
        <is>
          <t>IP54 Front Face</t>
        </is>
      </c>
      <c r="L109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M109" s="5" t="inlineStr">
        <is>
          <t>USD / Upon Request</t>
        </is>
      </c>
      <c r="N109" s="8" t="inlineStr">
        <is>
          <t>Upon request</t>
        </is>
      </c>
      <c r="O109" s="7" t="n"/>
      <c r="P109" s="8">
        <f>IF(ISNUMBER(N109),N109*(1-O109),N109)</f>
        <v/>
      </c>
      <c r="Q109" s="5" t="inlineStr">
        <is>
          <t>Upon request</t>
        </is>
      </c>
      <c r="R109" s="6" t="inlineStr">
        <is>
          <t>Available from stock (1-2 weeks)</t>
        </is>
      </c>
      <c r="S109" s="6" t="inlineStr">
        <is>
          <t>Fascia Panel Cutout</t>
        </is>
      </c>
      <c r="T109" s="6" t="inlineStr">
        <is>
          <t>IEC 60255, IEC 61000</t>
        </is>
      </c>
      <c r="U109" s="5" t="inlineStr">
        <is>
          <t>Page 25</t>
        </is>
      </c>
    </row>
    <row r="110" ht="20" customHeight="1">
      <c r="A110" s="10" t="inlineStr">
        <is>
          <t>Protection Relays</t>
        </is>
      </c>
      <c r="B110" s="10" t="inlineStr">
        <is>
          <t>Numerical &amp; Self-Powered Relays</t>
        </is>
      </c>
      <c r="C110" s="10" t="inlineStr">
        <is>
          <t>Woodward Relay Series</t>
        </is>
      </c>
      <c r="D110" s="10" t="inlineStr">
        <is>
          <t>WIC1</t>
        </is>
      </c>
      <c r="E110" s="10" t="inlineStr">
        <is>
          <t>Woodward WIC1</t>
        </is>
      </c>
      <c r="F110" s="10" t="inlineStr">
        <is>
          <t>WIC1 Self-Powered Overcurrent and Earth Fault Protection Relay</t>
        </is>
      </c>
      <c r="G110" s="9" t="inlineStr">
        <is>
          <t>Self-powered from CT / Aux 24-230V AC/DC</t>
        </is>
      </c>
      <c r="H110" s="9" t="inlineStr">
        <is>
          <t>1A / 5A CT Secondary</t>
        </is>
      </c>
      <c r="I110" s="9" t="inlineStr">
        <is>
          <t>-</t>
        </is>
      </c>
      <c r="J110" s="10" t="inlineStr">
        <is>
          <t>Standard DIN Flush Panel Mount</t>
        </is>
      </c>
      <c r="K110" s="9" t="inlineStr">
        <is>
          <t>IP54 Front Face</t>
        </is>
      </c>
      <c r="L110" s="10" t="inlineStr">
        <is>
          <t>Eliminates reliance on external power supplies; Fault current recording; Non-volatile event memory; Secondary injection testing support; Operating temp: -30°C to +70°C; Standards: IEC 60255</t>
        </is>
      </c>
      <c r="M110" s="9" t="inlineStr">
        <is>
          <t>USD / Upon Request</t>
        </is>
      </c>
      <c r="N110" s="12" t="inlineStr">
        <is>
          <t>Upon request</t>
        </is>
      </c>
      <c r="O110" s="11" t="n"/>
      <c r="P110" s="12">
        <f>IF(ISNUMBER(N110),N110*(1-O110),N110)</f>
        <v/>
      </c>
      <c r="Q110" s="9" t="inlineStr">
        <is>
          <t>Upon request</t>
        </is>
      </c>
      <c r="R110" s="10" t="inlineStr">
        <is>
          <t>Available from stock (1-2 weeks)</t>
        </is>
      </c>
      <c r="S110" s="10" t="inlineStr">
        <is>
          <t>Fascia Panel Cutout</t>
        </is>
      </c>
      <c r="T110" s="10" t="inlineStr">
        <is>
          <t>IEC 60255, IEC 61000</t>
        </is>
      </c>
      <c r="U110" s="9" t="inlineStr">
        <is>
          <t>Page 46</t>
        </is>
      </c>
    </row>
    <row r="111" ht="20" customHeight="1">
      <c r="A111" s="6" t="inlineStr">
        <is>
          <t>Protection Relays</t>
        </is>
      </c>
      <c r="B111" s="6" t="inlineStr">
        <is>
          <t>Numerical &amp; Self-Powered Relays</t>
        </is>
      </c>
      <c r="C111" s="6" t="inlineStr">
        <is>
          <t>Ashida Relay Series</t>
        </is>
      </c>
      <c r="D111" s="6" t="inlineStr">
        <is>
          <t>ADR241S</t>
        </is>
      </c>
      <c r="E111" s="6" t="inlineStr">
        <is>
          <t>Ashida ADR241S</t>
        </is>
      </c>
      <c r="F111" s="6" t="inlineStr">
        <is>
          <t>ADR241S Numerical Feeder Protection Relay (Dual Powered)</t>
        </is>
      </c>
      <c r="G111" s="5" t="inlineStr">
        <is>
          <t>Self-powered from CT / Aux 24-230V AC/DC</t>
        </is>
      </c>
      <c r="H111" s="5" t="inlineStr">
        <is>
          <t>1A / 5A CT Secondary</t>
        </is>
      </c>
      <c r="I111" s="5" t="inlineStr">
        <is>
          <t>-</t>
        </is>
      </c>
      <c r="J111" s="6" t="inlineStr">
        <is>
          <t>Standard DIN Flush Panel Mount</t>
        </is>
      </c>
      <c r="K111" s="5" t="inlineStr">
        <is>
          <t>IP54 Front Face</t>
        </is>
      </c>
      <c r="L111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M111" s="5" t="inlineStr">
        <is>
          <t>USD / Upon Request</t>
        </is>
      </c>
      <c r="N111" s="8" t="inlineStr">
        <is>
          <t>Upon request</t>
        </is>
      </c>
      <c r="O111" s="7" t="n"/>
      <c r="P111" s="8">
        <f>IF(ISNUMBER(N111),N111*(1-O111),N111)</f>
        <v/>
      </c>
      <c r="Q111" s="5" t="inlineStr">
        <is>
          <t>Upon request</t>
        </is>
      </c>
      <c r="R111" s="6" t="inlineStr">
        <is>
          <t>Available from stock (1-2 weeks)</t>
        </is>
      </c>
      <c r="S111" s="6" t="inlineStr">
        <is>
          <t>Fascia Panel Cutout</t>
        </is>
      </c>
      <c r="T111" s="6" t="inlineStr">
        <is>
          <t>IEC 60255, IEC 61000</t>
        </is>
      </c>
      <c r="U111" s="5" t="inlineStr">
        <is>
          <t>Page 25</t>
        </is>
      </c>
    </row>
    <row r="112" ht="20" customHeight="1">
      <c r="A112" s="10" t="inlineStr">
        <is>
          <t>Protection Relays</t>
        </is>
      </c>
      <c r="B112" s="10" t="inlineStr">
        <is>
          <t>Numerical &amp; Self-Powered Relays</t>
        </is>
      </c>
      <c r="C112" s="10" t="inlineStr">
        <is>
          <t>Kries Relay Series</t>
        </is>
      </c>
      <c r="D112" s="10" t="inlineStr">
        <is>
          <t>IKI-35</t>
        </is>
      </c>
      <c r="E112" s="10" t="inlineStr">
        <is>
          <t>Kries IKI-35</t>
        </is>
      </c>
      <c r="F112" s="10" t="inlineStr">
        <is>
          <t>IKI-35 Feeder Protection Relay with Integrated CT Inputs</t>
        </is>
      </c>
      <c r="G112" s="9" t="inlineStr">
        <is>
          <t>Self-powered from CT / Aux 24-230V AC/DC</t>
        </is>
      </c>
      <c r="H112" s="9" t="inlineStr">
        <is>
          <t>1A / 5A CT Secondary</t>
        </is>
      </c>
      <c r="I112" s="9" t="inlineStr">
        <is>
          <t>-</t>
        </is>
      </c>
      <c r="J112" s="10" t="inlineStr">
        <is>
          <t>Standard DIN Flush Panel Mount</t>
        </is>
      </c>
      <c r="K112" s="9" t="inlineStr">
        <is>
          <t>IP54 Front Face</t>
        </is>
      </c>
      <c r="L112" s="10" t="inlineStr">
        <is>
          <t>Eliminates reliance on external power supplies; Fault current recording; Non-volatile event memory; Secondary injection testing support; Operating temp: -30°C to +70°C; Standards: IEC 60255</t>
        </is>
      </c>
      <c r="M112" s="9" t="inlineStr">
        <is>
          <t>USD / Upon Request</t>
        </is>
      </c>
      <c r="N112" s="12" t="inlineStr">
        <is>
          <t>Upon request</t>
        </is>
      </c>
      <c r="O112" s="11" t="n"/>
      <c r="P112" s="12">
        <f>IF(ISNUMBER(N112),N112*(1-O112),N112)</f>
        <v/>
      </c>
      <c r="Q112" s="9" t="inlineStr">
        <is>
          <t>Upon request</t>
        </is>
      </c>
      <c r="R112" s="10" t="inlineStr">
        <is>
          <t>Available from stock (1-2 weeks)</t>
        </is>
      </c>
      <c r="S112" s="10" t="inlineStr">
        <is>
          <t>Fascia Panel Cutout</t>
        </is>
      </c>
      <c r="T112" s="10" t="inlineStr">
        <is>
          <t>IEC 60255, IEC 61000</t>
        </is>
      </c>
      <c r="U112" s="9" t="inlineStr">
        <is>
          <t>Page 25</t>
        </is>
      </c>
    </row>
    <row r="113" ht="20" customHeight="1">
      <c r="A113" s="6" t="inlineStr">
        <is>
          <t>Protection Relays</t>
        </is>
      </c>
      <c r="B113" s="6" t="inlineStr">
        <is>
          <t>Numerical &amp; Self-Powered Relays</t>
        </is>
      </c>
      <c r="C113" s="6" t="inlineStr">
        <is>
          <t>Fanox Relay Series</t>
        </is>
      </c>
      <c r="D113" s="6" t="inlineStr">
        <is>
          <t>SIA-C</t>
        </is>
      </c>
      <c r="E113" s="6" t="inlineStr">
        <is>
          <t>Fanox SIA-C</t>
        </is>
      </c>
      <c r="F113" s="6" t="inlineStr">
        <is>
          <t>SIA-C Dual Powered Protection Relay with Peak Demand &amp; Modbus</t>
        </is>
      </c>
      <c r="G113" s="5" t="inlineStr">
        <is>
          <t>Self-powered from CT / Aux 24-230V AC/DC</t>
        </is>
      </c>
      <c r="H113" s="5" t="inlineStr">
        <is>
          <t>1A / 5A CT Secondary</t>
        </is>
      </c>
      <c r="I113" s="5" t="inlineStr">
        <is>
          <t>-</t>
        </is>
      </c>
      <c r="J113" s="6" t="inlineStr">
        <is>
          <t>Standard DIN Flush Panel Mount</t>
        </is>
      </c>
      <c r="K113" s="5" t="inlineStr">
        <is>
          <t>IP54 Front Face</t>
        </is>
      </c>
      <c r="L113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M113" s="5" t="inlineStr">
        <is>
          <t>USD / Upon Request</t>
        </is>
      </c>
      <c r="N113" s="8" t="inlineStr">
        <is>
          <t>Upon request</t>
        </is>
      </c>
      <c r="O113" s="7" t="n"/>
      <c r="P113" s="8">
        <f>IF(ISNUMBER(N113),N113*(1-O113),N113)</f>
        <v/>
      </c>
      <c r="Q113" s="5" t="inlineStr">
        <is>
          <t>Upon request</t>
        </is>
      </c>
      <c r="R113" s="6" t="inlineStr">
        <is>
          <t>Available from stock (1-2 weeks)</t>
        </is>
      </c>
      <c r="S113" s="6" t="inlineStr">
        <is>
          <t>Fascia Panel Cutout</t>
        </is>
      </c>
      <c r="T113" s="6" t="inlineStr">
        <is>
          <t>IEC 60255, IEC 61000</t>
        </is>
      </c>
      <c r="U113" s="5" t="inlineStr">
        <is>
          <t>Page 25</t>
        </is>
      </c>
    </row>
    <row r="114" ht="20" customHeight="1">
      <c r="A114" s="10" t="inlineStr">
        <is>
          <t>Protection Relays</t>
        </is>
      </c>
      <c r="B114" s="10" t="inlineStr">
        <is>
          <t>Numerical &amp; Self-Powered Relays</t>
        </is>
      </c>
      <c r="C114" s="10" t="inlineStr">
        <is>
          <t>Fanox Relay Series</t>
        </is>
      </c>
      <c r="D114" s="10" t="inlineStr">
        <is>
          <t>SIA-B</t>
        </is>
      </c>
      <c r="E114" s="10" t="inlineStr">
        <is>
          <t>Fanox SIA-B</t>
        </is>
      </c>
      <c r="F114" s="10" t="inlineStr">
        <is>
          <t>SIA-B Overcurrent, Earth Fault &amp; Thermal Overload Protection Relay</t>
        </is>
      </c>
      <c r="G114" s="9" t="inlineStr">
        <is>
          <t>Self-powered from CT / Aux 24-230V AC/DC</t>
        </is>
      </c>
      <c r="H114" s="9" t="inlineStr">
        <is>
          <t>1A / 5A CT Secondary</t>
        </is>
      </c>
      <c r="I114" s="9" t="inlineStr">
        <is>
          <t>-</t>
        </is>
      </c>
      <c r="J114" s="10" t="inlineStr">
        <is>
          <t>Standard DIN Flush Panel Mount</t>
        </is>
      </c>
      <c r="K114" s="9" t="inlineStr">
        <is>
          <t>IP54 Front Face</t>
        </is>
      </c>
      <c r="L114" s="10" t="inlineStr">
        <is>
          <t>Eliminates reliance on external power supplies; Fault current recording; Non-volatile event memory; Secondary injection testing support; Operating temp: -30°C to +70°C; Standards: IEC 60255</t>
        </is>
      </c>
      <c r="M114" s="9" t="inlineStr">
        <is>
          <t>USD / Upon Request</t>
        </is>
      </c>
      <c r="N114" s="12" t="inlineStr">
        <is>
          <t>Upon request</t>
        </is>
      </c>
      <c r="O114" s="11" t="n"/>
      <c r="P114" s="12">
        <f>IF(ISNUMBER(N114),N114*(1-O114),N114)</f>
        <v/>
      </c>
      <c r="Q114" s="9" t="inlineStr">
        <is>
          <t>Upon request</t>
        </is>
      </c>
      <c r="R114" s="10" t="inlineStr">
        <is>
          <t>Available from stock (1-2 weeks)</t>
        </is>
      </c>
      <c r="S114" s="10" t="inlineStr">
        <is>
          <t>Fascia Panel Cutout</t>
        </is>
      </c>
      <c r="T114" s="10" t="inlineStr">
        <is>
          <t>IEC 60255, IEC 61000</t>
        </is>
      </c>
      <c r="U114" s="9" t="inlineStr">
        <is>
          <t>Page 25</t>
        </is>
      </c>
    </row>
    <row r="115" ht="20" customHeight="1">
      <c r="A115" s="6" t="inlineStr">
        <is>
          <t>Protection Relays</t>
        </is>
      </c>
      <c r="B115" s="6" t="inlineStr">
        <is>
          <t>Numerical &amp; Self-Powered Relays</t>
        </is>
      </c>
      <c r="C115" s="6" t="inlineStr">
        <is>
          <t>C&amp;S Electric Relay Series</t>
        </is>
      </c>
      <c r="D115" s="6" t="inlineStr">
        <is>
          <t>CSPR-V2</t>
        </is>
      </c>
      <c r="E115" s="6" t="inlineStr">
        <is>
          <t>C&amp;S Electric CSPR-V2</t>
        </is>
      </c>
      <c r="F115" s="6" t="inlineStr">
        <is>
          <t>CSPR-V2 Self-Powered Microcontroller Protection Relay</t>
        </is>
      </c>
      <c r="G115" s="5" t="inlineStr">
        <is>
          <t>Self-powered from CT / Aux 24-230V AC/DC</t>
        </is>
      </c>
      <c r="H115" s="5" t="inlineStr">
        <is>
          <t>1A / 5A CT Secondary</t>
        </is>
      </c>
      <c r="I115" s="5" t="inlineStr">
        <is>
          <t>-</t>
        </is>
      </c>
      <c r="J115" s="6" t="inlineStr">
        <is>
          <t>Standard DIN Flush Panel Mount</t>
        </is>
      </c>
      <c r="K115" s="5" t="inlineStr">
        <is>
          <t>IP54 Front Face</t>
        </is>
      </c>
      <c r="L115" s="6" t="inlineStr">
        <is>
          <t>Eliminates reliance on external power supplies; Fault current recording; Non-volatile event memory; Secondary injection testing support; Operating temp: -30°C to +70°C; Standards: IEC 60255</t>
        </is>
      </c>
      <c r="M115" s="5" t="inlineStr">
        <is>
          <t>USD / Upon Request</t>
        </is>
      </c>
      <c r="N115" s="8" t="inlineStr">
        <is>
          <t>Upon request</t>
        </is>
      </c>
      <c r="O115" s="7" t="n"/>
      <c r="P115" s="8">
        <f>IF(ISNUMBER(N115),N115*(1-O115),N115)</f>
        <v/>
      </c>
      <c r="Q115" s="5" t="inlineStr">
        <is>
          <t>Upon request</t>
        </is>
      </c>
      <c r="R115" s="6" t="inlineStr">
        <is>
          <t>Available from stock (1-2 weeks)</t>
        </is>
      </c>
      <c r="S115" s="6" t="inlineStr">
        <is>
          <t>Fascia Panel Cutout</t>
        </is>
      </c>
      <c r="T115" s="6" t="inlineStr">
        <is>
          <t>IEC 60255, IEC 61000</t>
        </is>
      </c>
      <c r="U115" s="5" t="inlineStr">
        <is>
          <t>Page 46</t>
        </is>
      </c>
    </row>
    <row r="116" ht="20" customHeight="1">
      <c r="A116" s="10" t="inlineStr">
        <is>
          <t>Earth Fault Indicators (EFI)</t>
        </is>
      </c>
      <c r="B116" s="10" t="inlineStr">
        <is>
          <t>Fault Passage Indicators</t>
        </is>
      </c>
      <c r="C116" s="10" t="inlineStr">
        <is>
          <t>Horstmann EFI Series</t>
        </is>
      </c>
      <c r="D116" s="10" t="inlineStr">
        <is>
          <t>SIGMA F+E 3</t>
        </is>
      </c>
      <c r="E116" s="10" t="inlineStr">
        <is>
          <t>Horstmann SIGMA F+E 3</t>
        </is>
      </c>
      <c r="F116" s="10" t="inlineStr">
        <is>
          <t>Horstmann SIGMA F+E 3 Non-Directional Short-Circuit &amp; Earth Fault Indicator</t>
        </is>
      </c>
      <c r="G116" s="9" t="inlineStr">
        <is>
          <t>1 - 38kV Medium Voltage Networks</t>
        </is>
      </c>
      <c r="H116" s="9" t="inlineStr">
        <is>
          <t>50A Trip Current</t>
        </is>
      </c>
      <c r="I116" s="9" t="inlineStr">
        <is>
          <t>-</t>
        </is>
      </c>
      <c r="J116" s="10" t="inlineStr">
        <is>
          <t>96 x 48 mm DIN cutout</t>
        </is>
      </c>
      <c r="K116" s="9" t="inlineStr">
        <is>
          <t>IP40</t>
        </is>
      </c>
      <c r="L116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16" s="9" t="inlineStr">
        <is>
          <t>USD / Upon Request</t>
        </is>
      </c>
      <c r="N116" s="12" t="inlineStr">
        <is>
          <t>Upon request</t>
        </is>
      </c>
      <c r="O116" s="11" t="n"/>
      <c r="P116" s="12">
        <f>IF(ISNUMBER(N116),N116*(1-O116),N116)</f>
        <v/>
      </c>
      <c r="Q116" s="9" t="inlineStr">
        <is>
          <t>Upon request</t>
        </is>
      </c>
      <c r="R116" s="10" t="inlineStr">
        <is>
          <t>In Stock (Immediate Dispatch)</t>
        </is>
      </c>
      <c r="S116" s="10" t="inlineStr">
        <is>
          <t>Fascia DIN Cutout / Surface Mount</t>
        </is>
      </c>
      <c r="T116" s="10" t="inlineStr">
        <is>
          <t>IEC 61010, IEEE 495</t>
        </is>
      </c>
      <c r="U116" s="9" t="inlineStr">
        <is>
          <t>Page 26</t>
        </is>
      </c>
    </row>
    <row r="117" ht="20" customHeight="1">
      <c r="A117" s="6" t="inlineStr">
        <is>
          <t>Earth Fault Indicators (EFI)</t>
        </is>
      </c>
      <c r="B117" s="6" t="inlineStr">
        <is>
          <t>Fault Passage Indicators</t>
        </is>
      </c>
      <c r="C117" s="6" t="inlineStr">
        <is>
          <t>Horstmann EFI Series</t>
        </is>
      </c>
      <c r="D117" s="6" t="inlineStr">
        <is>
          <t>SIGMA D/D+</t>
        </is>
      </c>
      <c r="E117" s="6" t="inlineStr">
        <is>
          <t>Horstmann SIGMA D/D+</t>
        </is>
      </c>
      <c r="F117" s="6" t="inlineStr">
        <is>
          <t>Horstmann SIGMA D/D+ Directional Short-Circuit &amp; Earth Fault Indicator</t>
        </is>
      </c>
      <c r="G117" s="5" t="inlineStr">
        <is>
          <t>1 - 38kV Medium Voltage Networks</t>
        </is>
      </c>
      <c r="H117" s="5" t="inlineStr">
        <is>
          <t>50A Trip Current</t>
        </is>
      </c>
      <c r="I117" s="5" t="inlineStr">
        <is>
          <t>-</t>
        </is>
      </c>
      <c r="J117" s="6" t="inlineStr">
        <is>
          <t>96 x 48 mm DIN cutout</t>
        </is>
      </c>
      <c r="K117" s="5" t="inlineStr">
        <is>
          <t>IP40</t>
        </is>
      </c>
      <c r="L117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17" s="5" t="inlineStr">
        <is>
          <t>USD / Upon Request</t>
        </is>
      </c>
      <c r="N117" s="8" t="inlineStr">
        <is>
          <t>Upon request</t>
        </is>
      </c>
      <c r="O117" s="7" t="n"/>
      <c r="P117" s="8">
        <f>IF(ISNUMBER(N117),N117*(1-O117),N117)</f>
        <v/>
      </c>
      <c r="Q117" s="5" t="inlineStr">
        <is>
          <t>Upon request</t>
        </is>
      </c>
      <c r="R117" s="6" t="inlineStr">
        <is>
          <t>In Stock (Immediate Dispatch)</t>
        </is>
      </c>
      <c r="S117" s="6" t="inlineStr">
        <is>
          <t>Fascia DIN Cutout / Surface Mount</t>
        </is>
      </c>
      <c r="T117" s="6" t="inlineStr">
        <is>
          <t>IEC 61010, IEEE 495</t>
        </is>
      </c>
      <c r="U117" s="5" t="inlineStr">
        <is>
          <t>Page 26</t>
        </is>
      </c>
    </row>
    <row r="118" ht="20" customHeight="1">
      <c r="A118" s="10" t="inlineStr">
        <is>
          <t>Earth Fault Indicators (EFI)</t>
        </is>
      </c>
      <c r="B118" s="10" t="inlineStr">
        <is>
          <t>Fault Passage Indicators</t>
        </is>
      </c>
      <c r="C118" s="10" t="inlineStr">
        <is>
          <t>Horstmann EFI Series</t>
        </is>
      </c>
      <c r="D118" s="10" t="inlineStr">
        <is>
          <t>ComPass A</t>
        </is>
      </c>
      <c r="E118" s="10" t="inlineStr">
        <is>
          <t>Horstmann ComPass A</t>
        </is>
      </c>
      <c r="F118" s="10" t="inlineStr">
        <is>
          <t>Horstmann ComPass A Non-Directional EFI with RS485 Modbus RTU</t>
        </is>
      </c>
      <c r="G118" s="9" t="inlineStr">
        <is>
          <t>1 - 38kV Medium Voltage Networks</t>
        </is>
      </c>
      <c r="H118" s="9" t="inlineStr">
        <is>
          <t>50A Trip Current</t>
        </is>
      </c>
      <c r="I118" s="9" t="inlineStr">
        <is>
          <t>-</t>
        </is>
      </c>
      <c r="J118" s="10" t="inlineStr">
        <is>
          <t>96 x 48 mm DIN cutout</t>
        </is>
      </c>
      <c r="K118" s="9" t="inlineStr">
        <is>
          <t>IP50</t>
        </is>
      </c>
      <c r="L118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18" s="9" t="inlineStr">
        <is>
          <t>USD / Upon Request</t>
        </is>
      </c>
      <c r="N118" s="12" t="inlineStr">
        <is>
          <t>Upon request</t>
        </is>
      </c>
      <c r="O118" s="11" t="n"/>
      <c r="P118" s="12">
        <f>IF(ISNUMBER(N118),N118*(1-O118),N118)</f>
        <v/>
      </c>
      <c r="Q118" s="9" t="inlineStr">
        <is>
          <t>Upon request</t>
        </is>
      </c>
      <c r="R118" s="10" t="inlineStr">
        <is>
          <t>In Stock (Immediate Dispatch)</t>
        </is>
      </c>
      <c r="S118" s="10" t="inlineStr">
        <is>
          <t>Fascia DIN Cutout / Surface Mount</t>
        </is>
      </c>
      <c r="T118" s="10" t="inlineStr">
        <is>
          <t>IEC 61010, IEEE 495</t>
        </is>
      </c>
      <c r="U118" s="9" t="inlineStr">
        <is>
          <t>Page 26</t>
        </is>
      </c>
    </row>
    <row r="119" ht="20" customHeight="1">
      <c r="A119" s="6" t="inlineStr">
        <is>
          <t>Earth Fault Indicators (EFI)</t>
        </is>
      </c>
      <c r="B119" s="6" t="inlineStr">
        <is>
          <t>Fault Passage Indicators</t>
        </is>
      </c>
      <c r="C119" s="6" t="inlineStr">
        <is>
          <t>Horstmann EFI Series</t>
        </is>
      </c>
      <c r="D119" s="6" t="inlineStr">
        <is>
          <t>ComPass B</t>
        </is>
      </c>
      <c r="E119" s="6" t="inlineStr">
        <is>
          <t>Horstmann ComPass B</t>
        </is>
      </c>
      <c r="F119" s="6" t="inlineStr">
        <is>
          <t>Horstmann ComPass B Directional EFI with RS485 Modbus RTU</t>
        </is>
      </c>
      <c r="G119" s="5" t="inlineStr">
        <is>
          <t>1 - 38kV Medium Voltage Networks</t>
        </is>
      </c>
      <c r="H119" s="5" t="inlineStr">
        <is>
          <t>50A Trip Current</t>
        </is>
      </c>
      <c r="I119" s="5" t="inlineStr">
        <is>
          <t>-</t>
        </is>
      </c>
      <c r="J119" s="6" t="inlineStr">
        <is>
          <t>96 x 48 mm DIN cutout</t>
        </is>
      </c>
      <c r="K119" s="5" t="inlineStr">
        <is>
          <t>IP50</t>
        </is>
      </c>
      <c r="L119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19" s="5" t="inlineStr">
        <is>
          <t>USD / Upon Request</t>
        </is>
      </c>
      <c r="N119" s="8" t="inlineStr">
        <is>
          <t>Upon request</t>
        </is>
      </c>
      <c r="O119" s="7" t="n"/>
      <c r="P119" s="8">
        <f>IF(ISNUMBER(N119),N119*(1-O119),N119)</f>
        <v/>
      </c>
      <c r="Q119" s="5" t="inlineStr">
        <is>
          <t>Upon request</t>
        </is>
      </c>
      <c r="R119" s="6" t="inlineStr">
        <is>
          <t>In Stock (Immediate Dispatch)</t>
        </is>
      </c>
      <c r="S119" s="6" t="inlineStr">
        <is>
          <t>Fascia DIN Cutout / Surface Mount</t>
        </is>
      </c>
      <c r="T119" s="6" t="inlineStr">
        <is>
          <t>IEC 61010, IEEE 495</t>
        </is>
      </c>
      <c r="U119" s="5" t="inlineStr">
        <is>
          <t>Page 26</t>
        </is>
      </c>
    </row>
    <row r="120" ht="20" customHeight="1">
      <c r="A120" s="10" t="inlineStr">
        <is>
          <t>Earth Fault Indicators (EFI)</t>
        </is>
      </c>
      <c r="B120" s="10" t="inlineStr">
        <is>
          <t>Fault Passage Indicators</t>
        </is>
      </c>
      <c r="C120" s="10" t="inlineStr">
        <is>
          <t>Horstmann EFI Series</t>
        </is>
      </c>
      <c r="D120" s="10" t="inlineStr">
        <is>
          <t>EARTH Zero (PI)</t>
        </is>
      </c>
      <c r="E120" s="10" t="inlineStr">
        <is>
          <t>Horstmann EARTH Zero (PI)</t>
        </is>
      </c>
      <c r="F120" s="10" t="inlineStr">
        <is>
          <t>Horstmann EARTH Zero Earth Fault Indicator (Plug-in Housing)</t>
        </is>
      </c>
      <c r="G120" s="9" t="inlineStr">
        <is>
          <t>1 - 38kV Medium Voltage Networks</t>
        </is>
      </c>
      <c r="H120" s="9" t="inlineStr">
        <is>
          <t>50A Trip Current</t>
        </is>
      </c>
      <c r="I120" s="9" t="inlineStr">
        <is>
          <t>-</t>
        </is>
      </c>
      <c r="J120" s="10" t="inlineStr">
        <is>
          <t>96 x 48 mm DIN cutout</t>
        </is>
      </c>
      <c r="K120" s="9" t="inlineStr">
        <is>
          <t>IP40</t>
        </is>
      </c>
      <c r="L120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0" s="9" t="inlineStr">
        <is>
          <t>USD / Upon Request</t>
        </is>
      </c>
      <c r="N120" s="12" t="inlineStr">
        <is>
          <t>Upon request</t>
        </is>
      </c>
      <c r="O120" s="11" t="n"/>
      <c r="P120" s="12">
        <f>IF(ISNUMBER(N120),N120*(1-O120),N120)</f>
        <v/>
      </c>
      <c r="Q120" s="9" t="inlineStr">
        <is>
          <t>Upon request</t>
        </is>
      </c>
      <c r="R120" s="10" t="inlineStr">
        <is>
          <t>In Stock (Immediate Dispatch)</t>
        </is>
      </c>
      <c r="S120" s="10" t="inlineStr">
        <is>
          <t>Fascia DIN Cutout / Surface Mount</t>
        </is>
      </c>
      <c r="T120" s="10" t="inlineStr">
        <is>
          <t>IEC 61010, IEEE 495</t>
        </is>
      </c>
      <c r="U120" s="9" t="inlineStr">
        <is>
          <t>Page 27</t>
        </is>
      </c>
    </row>
    <row r="121" ht="20" customHeight="1">
      <c r="A121" s="6" t="inlineStr">
        <is>
          <t>Earth Fault Indicators (EFI)</t>
        </is>
      </c>
      <c r="B121" s="6" t="inlineStr">
        <is>
          <t>Fault Passage Indicators</t>
        </is>
      </c>
      <c r="C121" s="6" t="inlineStr">
        <is>
          <t>Horstmann EFI Series</t>
        </is>
      </c>
      <c r="D121" s="6" t="inlineStr">
        <is>
          <t>EARTH Zero (SM)</t>
        </is>
      </c>
      <c r="E121" s="6" t="inlineStr">
        <is>
          <t>Horstmann EARTH Zero (SM)</t>
        </is>
      </c>
      <c r="F121" s="6" t="inlineStr">
        <is>
          <t>Horstmann EARTH Zero Earth Fault Indicator (Surface Mount Housing)</t>
        </is>
      </c>
      <c r="G121" s="5" t="inlineStr">
        <is>
          <t>1 - 38kV Medium Voltage Networks</t>
        </is>
      </c>
      <c r="H121" s="5" t="inlineStr">
        <is>
          <t>50A Trip Current</t>
        </is>
      </c>
      <c r="I121" s="5" t="inlineStr">
        <is>
          <t>-</t>
        </is>
      </c>
      <c r="J121" s="6" t="inlineStr">
        <is>
          <t>96 x 48 mm DIN cutout</t>
        </is>
      </c>
      <c r="K121" s="5" t="inlineStr">
        <is>
          <t>IP65</t>
        </is>
      </c>
      <c r="L121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1" s="5" t="inlineStr">
        <is>
          <t>USD / Upon Request</t>
        </is>
      </c>
      <c r="N121" s="8" t="inlineStr">
        <is>
          <t>Upon request</t>
        </is>
      </c>
      <c r="O121" s="7" t="n"/>
      <c r="P121" s="8">
        <f>IF(ISNUMBER(N121),N121*(1-O121),N121)</f>
        <v/>
      </c>
      <c r="Q121" s="5" t="inlineStr">
        <is>
          <t>Upon request</t>
        </is>
      </c>
      <c r="R121" s="6" t="inlineStr">
        <is>
          <t>In Stock (Immediate Dispatch)</t>
        </is>
      </c>
      <c r="S121" s="6" t="inlineStr">
        <is>
          <t>Fascia DIN Cutout / Surface Mount</t>
        </is>
      </c>
      <c r="T121" s="6" t="inlineStr">
        <is>
          <t>IEC 61010, IEEE 495</t>
        </is>
      </c>
      <c r="U121" s="5" t="inlineStr">
        <is>
          <t>Page 27</t>
        </is>
      </c>
    </row>
    <row r="122" ht="20" customHeight="1">
      <c r="A122" s="10" t="inlineStr">
        <is>
          <t>Earth Fault Indicators (EFI)</t>
        </is>
      </c>
      <c r="B122" s="10" t="inlineStr">
        <is>
          <t>Fault Passage Indicators</t>
        </is>
      </c>
      <c r="C122" s="10" t="inlineStr">
        <is>
          <t>Horstmann EFI Series</t>
        </is>
      </c>
      <c r="D122" s="10" t="inlineStr">
        <is>
          <t>EARTH Zero Flag (PI)</t>
        </is>
      </c>
      <c r="E122" s="10" t="inlineStr">
        <is>
          <t>Horstmann EARTH Zero Flag (PI)</t>
        </is>
      </c>
      <c r="F122" s="10" t="inlineStr">
        <is>
          <t>Horstmann EARTH Zero Flag EFI with Mechanical Red Flag (Plug-in)</t>
        </is>
      </c>
      <c r="G122" s="9" t="inlineStr">
        <is>
          <t>1 - 38kV Medium Voltage Networks</t>
        </is>
      </c>
      <c r="H122" s="9" t="inlineStr">
        <is>
          <t>50A Trip Current</t>
        </is>
      </c>
      <c r="I122" s="9" t="inlineStr">
        <is>
          <t>-</t>
        </is>
      </c>
      <c r="J122" s="10" t="inlineStr">
        <is>
          <t>96 x 48 mm DIN cutout</t>
        </is>
      </c>
      <c r="K122" s="9" t="inlineStr">
        <is>
          <t>IP40</t>
        </is>
      </c>
      <c r="L122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2" s="9" t="inlineStr">
        <is>
          <t>USD / Upon Request</t>
        </is>
      </c>
      <c r="N122" s="12" t="inlineStr">
        <is>
          <t>Upon request</t>
        </is>
      </c>
      <c r="O122" s="11" t="n"/>
      <c r="P122" s="12">
        <f>IF(ISNUMBER(N122),N122*(1-O122),N122)</f>
        <v/>
      </c>
      <c r="Q122" s="9" t="inlineStr">
        <is>
          <t>Upon request</t>
        </is>
      </c>
      <c r="R122" s="10" t="inlineStr">
        <is>
          <t>In Stock (Immediate Dispatch)</t>
        </is>
      </c>
      <c r="S122" s="10" t="inlineStr">
        <is>
          <t>Fascia DIN Cutout / Surface Mount</t>
        </is>
      </c>
      <c r="T122" s="10" t="inlineStr">
        <is>
          <t>IEC 61010, IEEE 495</t>
        </is>
      </c>
      <c r="U122" s="9" t="inlineStr">
        <is>
          <t>Page 27</t>
        </is>
      </c>
    </row>
    <row r="123" ht="20" customHeight="1">
      <c r="A123" s="6" t="inlineStr">
        <is>
          <t>Earth Fault Indicators (EFI)</t>
        </is>
      </c>
      <c r="B123" s="6" t="inlineStr">
        <is>
          <t>Fault Passage Indicators</t>
        </is>
      </c>
      <c r="C123" s="6" t="inlineStr">
        <is>
          <t>Horstmann EFI Series</t>
        </is>
      </c>
      <c r="D123" s="6" t="inlineStr">
        <is>
          <t>EARTH Zero Flag (SM)</t>
        </is>
      </c>
      <c r="E123" s="6" t="inlineStr">
        <is>
          <t>Horstmann EARTH Zero Flag (SM)</t>
        </is>
      </c>
      <c r="F123" s="6" t="inlineStr">
        <is>
          <t>Horstmann EARTH Zero Flag EFI with Mechanical Red Flag (Surface Mount)</t>
        </is>
      </c>
      <c r="G123" s="5" t="inlineStr">
        <is>
          <t>1 - 38kV Medium Voltage Networks</t>
        </is>
      </c>
      <c r="H123" s="5" t="inlineStr">
        <is>
          <t>50A Trip Current</t>
        </is>
      </c>
      <c r="I123" s="5" t="inlineStr">
        <is>
          <t>-</t>
        </is>
      </c>
      <c r="J123" s="6" t="inlineStr">
        <is>
          <t>96 x 48 mm DIN cutout</t>
        </is>
      </c>
      <c r="K123" s="5" t="inlineStr">
        <is>
          <t>IP65</t>
        </is>
      </c>
      <c r="L123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3" s="5" t="inlineStr">
        <is>
          <t>USD / Upon Request</t>
        </is>
      </c>
      <c r="N123" s="8" t="inlineStr">
        <is>
          <t>Upon request</t>
        </is>
      </c>
      <c r="O123" s="7" t="n"/>
      <c r="P123" s="8">
        <f>IF(ISNUMBER(N123),N123*(1-O123),N123)</f>
        <v/>
      </c>
      <c r="Q123" s="5" t="inlineStr">
        <is>
          <t>Upon request</t>
        </is>
      </c>
      <c r="R123" s="6" t="inlineStr">
        <is>
          <t>In Stock (Immediate Dispatch)</t>
        </is>
      </c>
      <c r="S123" s="6" t="inlineStr">
        <is>
          <t>Fascia DIN Cutout / Surface Mount</t>
        </is>
      </c>
      <c r="T123" s="6" t="inlineStr">
        <is>
          <t>IEC 61010, IEEE 495</t>
        </is>
      </c>
      <c r="U123" s="5" t="inlineStr">
        <is>
          <t>Page 27</t>
        </is>
      </c>
    </row>
    <row r="124" ht="20" customHeight="1">
      <c r="A124" s="10" t="inlineStr">
        <is>
          <t>Earth Fault Indicators (EFI)</t>
        </is>
      </c>
      <c r="B124" s="10" t="inlineStr">
        <is>
          <t>Fault Passage Indicators</t>
        </is>
      </c>
      <c r="C124" s="10" t="inlineStr">
        <is>
          <t>Horstmann EFI Series</t>
        </is>
      </c>
      <c r="D124" s="10" t="inlineStr">
        <is>
          <t>EARTH 4.0</t>
        </is>
      </c>
      <c r="E124" s="10" t="inlineStr">
        <is>
          <t>Horstmann EARTH 4.0</t>
        </is>
      </c>
      <c r="F124" s="10" t="inlineStr">
        <is>
          <t>Horstmann EARTH 4.0 Advanced Earth Fault Indicator with Low Battery LED</t>
        </is>
      </c>
      <c r="G124" s="9" t="inlineStr">
        <is>
          <t>1 - 38kV Medium Voltage Networks</t>
        </is>
      </c>
      <c r="H124" s="9" t="inlineStr">
        <is>
          <t>50A Trip Current</t>
        </is>
      </c>
      <c r="I124" s="9" t="inlineStr">
        <is>
          <t>-</t>
        </is>
      </c>
      <c r="J124" s="10" t="inlineStr">
        <is>
          <t>96 x 48 mm DIN cutout</t>
        </is>
      </c>
      <c r="K124" s="9" t="inlineStr">
        <is>
          <t>IP65</t>
        </is>
      </c>
      <c r="L124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4" s="9" t="inlineStr">
        <is>
          <t>USD / Upon Request</t>
        </is>
      </c>
      <c r="N124" s="12" t="inlineStr">
        <is>
          <t>Upon request</t>
        </is>
      </c>
      <c r="O124" s="11" t="n"/>
      <c r="P124" s="12">
        <f>IF(ISNUMBER(N124),N124*(1-O124),N124)</f>
        <v/>
      </c>
      <c r="Q124" s="9" t="inlineStr">
        <is>
          <t>Upon request</t>
        </is>
      </c>
      <c r="R124" s="10" t="inlineStr">
        <is>
          <t>In Stock (Immediate Dispatch)</t>
        </is>
      </c>
      <c r="S124" s="10" t="inlineStr">
        <is>
          <t>Fascia DIN Cutout / Surface Mount</t>
        </is>
      </c>
      <c r="T124" s="10" t="inlineStr">
        <is>
          <t>IEC 61010, IEEE 495</t>
        </is>
      </c>
      <c r="U124" s="9" t="inlineStr">
        <is>
          <t>Page 27</t>
        </is>
      </c>
    </row>
    <row r="125" ht="20" customHeight="1">
      <c r="A125" s="6" t="inlineStr">
        <is>
          <t>Earth Fault Indicators (EFI)</t>
        </is>
      </c>
      <c r="B125" s="6" t="inlineStr">
        <is>
          <t>Fault Passage Indicators</t>
        </is>
      </c>
      <c r="C125" s="6" t="inlineStr">
        <is>
          <t>SupaRule EFI Series</t>
        </is>
      </c>
      <c r="D125" s="6" t="inlineStr">
        <is>
          <t>BLZ-50</t>
        </is>
      </c>
      <c r="E125" s="6" t="inlineStr">
        <is>
          <t>SupaRule BLZ-50</t>
        </is>
      </c>
      <c r="F125" s="6" t="inlineStr">
        <is>
          <t>SupaRule Sensorform BLZ-50 Battery Powered EFI with LED Indication</t>
        </is>
      </c>
      <c r="G125" s="5" t="inlineStr">
        <is>
          <t>1 - 38kV Medium Voltage Networks</t>
        </is>
      </c>
      <c r="H125" s="5" t="inlineStr">
        <is>
          <t>50A Trip Current</t>
        </is>
      </c>
      <c r="I125" s="5" t="inlineStr">
        <is>
          <t>-</t>
        </is>
      </c>
      <c r="J125" s="6" t="inlineStr">
        <is>
          <t>96 x 48 mm DIN cutout</t>
        </is>
      </c>
      <c r="K125" s="5" t="inlineStr">
        <is>
          <t>IP65</t>
        </is>
      </c>
      <c r="L125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5" s="5" t="inlineStr">
        <is>
          <t>USD / Upon Request</t>
        </is>
      </c>
      <c r="N125" s="8" t="inlineStr">
        <is>
          <t>Upon request</t>
        </is>
      </c>
      <c r="O125" s="7" t="n"/>
      <c r="P125" s="8">
        <f>IF(ISNUMBER(N125),N125*(1-O125),N125)</f>
        <v/>
      </c>
      <c r="Q125" s="5" t="inlineStr">
        <is>
          <t>Upon request</t>
        </is>
      </c>
      <c r="R125" s="6" t="inlineStr">
        <is>
          <t>In Stock (Immediate Dispatch)</t>
        </is>
      </c>
      <c r="S125" s="6" t="inlineStr">
        <is>
          <t>Fascia DIN Cutout / Surface Mount</t>
        </is>
      </c>
      <c r="T125" s="6" t="inlineStr">
        <is>
          <t>IEC 61010, IEEE 495</t>
        </is>
      </c>
      <c r="U125" s="5" t="inlineStr">
        <is>
          <t>Page 27</t>
        </is>
      </c>
    </row>
    <row r="126" ht="20" customHeight="1">
      <c r="A126" s="10" t="inlineStr">
        <is>
          <t>Earth Fault Indicators (EFI)</t>
        </is>
      </c>
      <c r="B126" s="10" t="inlineStr">
        <is>
          <t>Fault Passage Indicators</t>
        </is>
      </c>
      <c r="C126" s="10" t="inlineStr">
        <is>
          <t>SupaRule EFI Series</t>
        </is>
      </c>
      <c r="D126" s="10" t="inlineStr">
        <is>
          <t>BFZ-50</t>
        </is>
      </c>
      <c r="E126" s="10" t="inlineStr">
        <is>
          <t>SupaRule BFZ-50</t>
        </is>
      </c>
      <c r="F126" s="10" t="inlineStr">
        <is>
          <t>SupaRule Sensorform BFZ-50 Battery Powered EFI with Mechanical Flag</t>
        </is>
      </c>
      <c r="G126" s="9" t="inlineStr">
        <is>
          <t>1 - 38kV Medium Voltage Networks</t>
        </is>
      </c>
      <c r="H126" s="9" t="inlineStr">
        <is>
          <t>50A Trip Current</t>
        </is>
      </c>
      <c r="I126" s="9" t="inlineStr">
        <is>
          <t>-</t>
        </is>
      </c>
      <c r="J126" s="10" t="inlineStr">
        <is>
          <t>96 x 48 mm DIN cutout</t>
        </is>
      </c>
      <c r="K126" s="9" t="inlineStr">
        <is>
          <t>IP65</t>
        </is>
      </c>
      <c r="L126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6" s="9" t="inlineStr">
        <is>
          <t>USD / Upon Request</t>
        </is>
      </c>
      <c r="N126" s="12" t="inlineStr">
        <is>
          <t>Upon request</t>
        </is>
      </c>
      <c r="O126" s="11" t="n"/>
      <c r="P126" s="12">
        <f>IF(ISNUMBER(N126),N126*(1-O126),N126)</f>
        <v/>
      </c>
      <c r="Q126" s="9" t="inlineStr">
        <is>
          <t>Upon request</t>
        </is>
      </c>
      <c r="R126" s="10" t="inlineStr">
        <is>
          <t>In Stock (Immediate Dispatch)</t>
        </is>
      </c>
      <c r="S126" s="10" t="inlineStr">
        <is>
          <t>Fascia DIN Cutout / Surface Mount</t>
        </is>
      </c>
      <c r="T126" s="10" t="inlineStr">
        <is>
          <t>IEC 61010, IEEE 495</t>
        </is>
      </c>
      <c r="U126" s="9" t="inlineStr">
        <is>
          <t>Page 27</t>
        </is>
      </c>
    </row>
    <row r="127" ht="20" customHeight="1">
      <c r="A127" s="6" t="inlineStr">
        <is>
          <t>Earth Fault Indicators (EFI)</t>
        </is>
      </c>
      <c r="B127" s="6" t="inlineStr">
        <is>
          <t>Fault Passage Indicators</t>
        </is>
      </c>
      <c r="C127" s="6" t="inlineStr">
        <is>
          <t>SupaRule EFI Series</t>
        </is>
      </c>
      <c r="D127" s="6" t="inlineStr">
        <is>
          <t>MFZ-50</t>
        </is>
      </c>
      <c r="E127" s="6" t="inlineStr">
        <is>
          <t>SupaRule MFZ-50</t>
        </is>
      </c>
      <c r="F127" s="6" t="inlineStr">
        <is>
          <t>SupaRule Sensorform MFZ-50 Mains Powered EFI (110-240V AC) with Mech Flag</t>
        </is>
      </c>
      <c r="G127" s="5" t="inlineStr">
        <is>
          <t>1 - 38kV Medium Voltage Networks</t>
        </is>
      </c>
      <c r="H127" s="5" t="inlineStr">
        <is>
          <t>50A Trip Current</t>
        </is>
      </c>
      <c r="I127" s="5" t="inlineStr">
        <is>
          <t>-</t>
        </is>
      </c>
      <c r="J127" s="6" t="inlineStr">
        <is>
          <t>96 x 48 mm DIN cutout</t>
        </is>
      </c>
      <c r="K127" s="5" t="inlineStr">
        <is>
          <t>IP65</t>
        </is>
      </c>
      <c r="L127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7" s="5" t="inlineStr">
        <is>
          <t>USD / Upon Request</t>
        </is>
      </c>
      <c r="N127" s="8" t="inlineStr">
        <is>
          <t>Upon request</t>
        </is>
      </c>
      <c r="O127" s="7" t="n"/>
      <c r="P127" s="8">
        <f>IF(ISNUMBER(N127),N127*(1-O127),N127)</f>
        <v/>
      </c>
      <c r="Q127" s="5" t="inlineStr">
        <is>
          <t>Upon request</t>
        </is>
      </c>
      <c r="R127" s="6" t="inlineStr">
        <is>
          <t>In Stock (Immediate Dispatch)</t>
        </is>
      </c>
      <c r="S127" s="6" t="inlineStr">
        <is>
          <t>Fascia DIN Cutout / Surface Mount</t>
        </is>
      </c>
      <c r="T127" s="6" t="inlineStr">
        <is>
          <t>IEC 61010, IEEE 495</t>
        </is>
      </c>
      <c r="U127" s="5" t="inlineStr">
        <is>
          <t>Page 27</t>
        </is>
      </c>
    </row>
    <row r="128" ht="20" customHeight="1">
      <c r="A128" s="10" t="inlineStr">
        <is>
          <t>Earth Fault Indicators (EFI)</t>
        </is>
      </c>
      <c r="B128" s="10" t="inlineStr">
        <is>
          <t>Fault Passage Indicators</t>
        </is>
      </c>
      <c r="C128" s="10" t="inlineStr">
        <is>
          <t>SupaRule EFI Series</t>
        </is>
      </c>
      <c r="D128" s="10" t="inlineStr">
        <is>
          <t>MLZ-50</t>
        </is>
      </c>
      <c r="E128" s="10" t="inlineStr">
        <is>
          <t>SupaRule MLZ-50</t>
        </is>
      </c>
      <c r="F128" s="10" t="inlineStr">
        <is>
          <t>SupaRule Sensorform MLZ-50 Mains Powered EFI (110-240V AC) with LED Indication</t>
        </is>
      </c>
      <c r="G128" s="9" t="inlineStr">
        <is>
          <t>1 - 38kV Medium Voltage Networks</t>
        </is>
      </c>
      <c r="H128" s="9" t="inlineStr">
        <is>
          <t>50A Trip Current</t>
        </is>
      </c>
      <c r="I128" s="9" t="inlineStr">
        <is>
          <t>-</t>
        </is>
      </c>
      <c r="J128" s="10" t="inlineStr">
        <is>
          <t>96 x 48 mm DIN cutout</t>
        </is>
      </c>
      <c r="K128" s="9" t="inlineStr">
        <is>
          <t>IP65</t>
        </is>
      </c>
      <c r="L128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8" s="9" t="inlineStr">
        <is>
          <t>USD / Upon Request</t>
        </is>
      </c>
      <c r="N128" s="12" t="inlineStr">
        <is>
          <t>Upon request</t>
        </is>
      </c>
      <c r="O128" s="11" t="n"/>
      <c r="P128" s="12">
        <f>IF(ISNUMBER(N128),N128*(1-O128),N128)</f>
        <v/>
      </c>
      <c r="Q128" s="9" t="inlineStr">
        <is>
          <t>Upon request</t>
        </is>
      </c>
      <c r="R128" s="10" t="inlineStr">
        <is>
          <t>In Stock (Immediate Dispatch)</t>
        </is>
      </c>
      <c r="S128" s="10" t="inlineStr">
        <is>
          <t>Fascia DIN Cutout / Surface Mount</t>
        </is>
      </c>
      <c r="T128" s="10" t="inlineStr">
        <is>
          <t>IEC 61010, IEEE 495</t>
        </is>
      </c>
      <c r="U128" s="9" t="inlineStr">
        <is>
          <t>Page 27</t>
        </is>
      </c>
    </row>
    <row r="129" ht="20" customHeight="1">
      <c r="A129" s="6" t="inlineStr">
        <is>
          <t>Earth Fault Indicators (EFI)</t>
        </is>
      </c>
      <c r="B129" s="6" t="inlineStr">
        <is>
          <t>Fault Passage Indicators</t>
        </is>
      </c>
      <c r="C129" s="6" t="inlineStr">
        <is>
          <t>SupaRule EFI Series</t>
        </is>
      </c>
      <c r="D129" s="6" t="inlineStr">
        <is>
          <t>CFZ-50</t>
        </is>
      </c>
      <c r="E129" s="6" t="inlineStr">
        <is>
          <t>SupaRule CFZ-50</t>
        </is>
      </c>
      <c r="F129" s="6" t="inlineStr">
        <is>
          <t>SupaRule Sensorform CFZ-50 Self-Powered CT-Driven EFI with Mech Flag</t>
        </is>
      </c>
      <c r="G129" s="5" t="inlineStr">
        <is>
          <t>1 - 38kV Medium Voltage Networks</t>
        </is>
      </c>
      <c r="H129" s="5" t="inlineStr">
        <is>
          <t>50A Trip Current</t>
        </is>
      </c>
      <c r="I129" s="5" t="inlineStr">
        <is>
          <t>-</t>
        </is>
      </c>
      <c r="J129" s="6" t="inlineStr">
        <is>
          <t>96 x 48 mm DIN cutout</t>
        </is>
      </c>
      <c r="K129" s="5" t="inlineStr">
        <is>
          <t>IP65</t>
        </is>
      </c>
      <c r="L129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29" s="5" t="inlineStr">
        <is>
          <t>USD / Upon Request</t>
        </is>
      </c>
      <c r="N129" s="8" t="inlineStr">
        <is>
          <t>Upon request</t>
        </is>
      </c>
      <c r="O129" s="7" t="n"/>
      <c r="P129" s="8">
        <f>IF(ISNUMBER(N129),N129*(1-O129),N129)</f>
        <v/>
      </c>
      <c r="Q129" s="5" t="inlineStr">
        <is>
          <t>Upon request</t>
        </is>
      </c>
      <c r="R129" s="6" t="inlineStr">
        <is>
          <t>In Stock (Immediate Dispatch)</t>
        </is>
      </c>
      <c r="S129" s="6" t="inlineStr">
        <is>
          <t>Fascia DIN Cutout / Surface Mount</t>
        </is>
      </c>
      <c r="T129" s="6" t="inlineStr">
        <is>
          <t>IEC 61010, IEEE 495</t>
        </is>
      </c>
      <c r="U129" s="5" t="inlineStr">
        <is>
          <t>Page 27</t>
        </is>
      </c>
    </row>
    <row r="130" ht="20" customHeight="1">
      <c r="A130" s="10" t="inlineStr">
        <is>
          <t>Earth Fault Indicators (EFI)</t>
        </is>
      </c>
      <c r="B130" s="10" t="inlineStr">
        <is>
          <t>Fault Passage Indicators</t>
        </is>
      </c>
      <c r="C130" s="10" t="inlineStr">
        <is>
          <t>SupaRule EFI Series</t>
        </is>
      </c>
      <c r="D130" s="10" t="inlineStr">
        <is>
          <t>CLZ-50</t>
        </is>
      </c>
      <c r="E130" s="10" t="inlineStr">
        <is>
          <t>SupaRule CLZ-50</t>
        </is>
      </c>
      <c r="F130" s="10" t="inlineStr">
        <is>
          <t>SupaRule Sensorform CLZ-50 Self-Powered CT-Driven EFI with LED Indication</t>
        </is>
      </c>
      <c r="G130" s="9" t="inlineStr">
        <is>
          <t>1 - 38kV Medium Voltage Networks</t>
        </is>
      </c>
      <c r="H130" s="9" t="inlineStr">
        <is>
          <t>50A Trip Current</t>
        </is>
      </c>
      <c r="I130" s="9" t="inlineStr">
        <is>
          <t>-</t>
        </is>
      </c>
      <c r="J130" s="10" t="inlineStr">
        <is>
          <t>96 x 48 mm DIN cutout</t>
        </is>
      </c>
      <c r="K130" s="9" t="inlineStr">
        <is>
          <t>IP65</t>
        </is>
      </c>
      <c r="L130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30" s="9" t="inlineStr">
        <is>
          <t>USD / Upon Request</t>
        </is>
      </c>
      <c r="N130" s="12" t="inlineStr">
        <is>
          <t>Upon request</t>
        </is>
      </c>
      <c r="O130" s="11" t="n"/>
      <c r="P130" s="12">
        <f>IF(ISNUMBER(N130),N130*(1-O130),N130)</f>
        <v/>
      </c>
      <c r="Q130" s="9" t="inlineStr">
        <is>
          <t>Upon request</t>
        </is>
      </c>
      <c r="R130" s="10" t="inlineStr">
        <is>
          <t>In Stock (Immediate Dispatch)</t>
        </is>
      </c>
      <c r="S130" s="10" t="inlineStr">
        <is>
          <t>Fascia DIN Cutout / Surface Mount</t>
        </is>
      </c>
      <c r="T130" s="10" t="inlineStr">
        <is>
          <t>IEC 61010, IEEE 495</t>
        </is>
      </c>
      <c r="U130" s="9" t="inlineStr">
        <is>
          <t>Page 27</t>
        </is>
      </c>
    </row>
    <row r="131" ht="20" customHeight="1">
      <c r="A131" s="6" t="inlineStr">
        <is>
          <t>Earth Fault Indicators (EFI)</t>
        </is>
      </c>
      <c r="B131" s="6" t="inlineStr">
        <is>
          <t>Fault Passage Indicators</t>
        </is>
      </c>
      <c r="C131" s="6" t="inlineStr">
        <is>
          <t>SupaRule EFI Series</t>
        </is>
      </c>
      <c r="D131" s="6" t="inlineStr">
        <is>
          <t>CT100</t>
        </is>
      </c>
      <c r="E131" s="6" t="inlineStr">
        <is>
          <t>SupaRule CT100</t>
        </is>
      </c>
      <c r="F131" s="6" t="inlineStr">
        <is>
          <t>SupaRule Current Sensor CT 100mm Diameter for Sensorform EFI</t>
        </is>
      </c>
      <c r="G131" s="5" t="inlineStr">
        <is>
          <t>1 - 38kV Medium Voltage Networks</t>
        </is>
      </c>
      <c r="H131" s="5" t="inlineStr">
        <is>
          <t>50A Trip Current</t>
        </is>
      </c>
      <c r="I131" s="5" t="inlineStr">
        <is>
          <t>-</t>
        </is>
      </c>
      <c r="J131" s="6" t="inlineStr">
        <is>
          <t>96 x 48 mm DIN cutout</t>
        </is>
      </c>
      <c r="K131" s="5" t="inlineStr">
        <is>
          <t>IP65</t>
        </is>
      </c>
      <c r="L131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31" s="5" t="inlineStr">
        <is>
          <t>USD / Upon Request</t>
        </is>
      </c>
      <c r="N131" s="8" t="inlineStr">
        <is>
          <t>Upon request</t>
        </is>
      </c>
      <c r="O131" s="7" t="n"/>
      <c r="P131" s="8">
        <f>IF(ISNUMBER(N131),N131*(1-O131),N131)</f>
        <v/>
      </c>
      <c r="Q131" s="5" t="inlineStr">
        <is>
          <t>Upon request</t>
        </is>
      </c>
      <c r="R131" s="6" t="inlineStr">
        <is>
          <t>In Stock (Immediate Dispatch)</t>
        </is>
      </c>
      <c r="S131" s="6" t="inlineStr">
        <is>
          <t>Fascia DIN Cutout / Surface Mount</t>
        </is>
      </c>
      <c r="T131" s="6" t="inlineStr">
        <is>
          <t>IEC 61010, IEEE 495</t>
        </is>
      </c>
      <c r="U131" s="5" t="inlineStr">
        <is>
          <t>Page 27</t>
        </is>
      </c>
    </row>
    <row r="132" ht="20" customHeight="1">
      <c r="A132" s="10" t="inlineStr">
        <is>
          <t>Earth Fault Indicators (EFI)</t>
        </is>
      </c>
      <c r="B132" s="10" t="inlineStr">
        <is>
          <t>Fault Passage Indicators</t>
        </is>
      </c>
      <c r="C132" s="10" t="inlineStr">
        <is>
          <t>SupaRule EFI Series</t>
        </is>
      </c>
      <c r="D132" s="10" t="inlineStr">
        <is>
          <t>CT150</t>
        </is>
      </c>
      <c r="E132" s="10" t="inlineStr">
        <is>
          <t>SupaRule CT150</t>
        </is>
      </c>
      <c r="F132" s="10" t="inlineStr">
        <is>
          <t>SupaRule Current Sensor CT 150mm Diameter for Sensorform EFI</t>
        </is>
      </c>
      <c r="G132" s="9" t="inlineStr">
        <is>
          <t>1 - 38kV Medium Voltage Networks</t>
        </is>
      </c>
      <c r="H132" s="9" t="inlineStr">
        <is>
          <t>50A Trip Current</t>
        </is>
      </c>
      <c r="I132" s="9" t="inlineStr">
        <is>
          <t>-</t>
        </is>
      </c>
      <c r="J132" s="10" t="inlineStr">
        <is>
          <t>96 x 48 mm DIN cutout</t>
        </is>
      </c>
      <c r="K132" s="9" t="inlineStr">
        <is>
          <t>IP65</t>
        </is>
      </c>
      <c r="L132" s="10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32" s="9" t="inlineStr">
        <is>
          <t>USD / Upon Request</t>
        </is>
      </c>
      <c r="N132" s="12" t="inlineStr">
        <is>
          <t>Upon request</t>
        </is>
      </c>
      <c r="O132" s="11" t="n"/>
      <c r="P132" s="12">
        <f>IF(ISNUMBER(N132),N132*(1-O132),N132)</f>
        <v/>
      </c>
      <c r="Q132" s="9" t="inlineStr">
        <is>
          <t>Upon request</t>
        </is>
      </c>
      <c r="R132" s="10" t="inlineStr">
        <is>
          <t>In Stock (Immediate Dispatch)</t>
        </is>
      </c>
      <c r="S132" s="10" t="inlineStr">
        <is>
          <t>Fascia DIN Cutout / Surface Mount</t>
        </is>
      </c>
      <c r="T132" s="10" t="inlineStr">
        <is>
          <t>IEC 61010, IEEE 495</t>
        </is>
      </c>
      <c r="U132" s="9" t="inlineStr">
        <is>
          <t>Page 27</t>
        </is>
      </c>
    </row>
    <row r="133" ht="20" customHeight="1">
      <c r="A133" s="6" t="inlineStr">
        <is>
          <t>Earth Fault Indicators (EFI)</t>
        </is>
      </c>
      <c r="B133" s="6" t="inlineStr">
        <is>
          <t>Fault Passage Indicators</t>
        </is>
      </c>
      <c r="C133" s="6" t="inlineStr">
        <is>
          <t>SupaRule EFI Series</t>
        </is>
      </c>
      <c r="D133" s="6" t="inlineStr">
        <is>
          <t>CT300</t>
        </is>
      </c>
      <c r="E133" s="6" t="inlineStr">
        <is>
          <t>SupaRule CT300</t>
        </is>
      </c>
      <c r="F133" s="6" t="inlineStr">
        <is>
          <t>SupaRule Current Sensor CT 300mm Diameter for Sensorform EFI</t>
        </is>
      </c>
      <c r="G133" s="5" t="inlineStr">
        <is>
          <t>1 - 38kV Medium Voltage Networks</t>
        </is>
      </c>
      <c r="H133" s="5" t="inlineStr">
        <is>
          <t>50A Trip Current</t>
        </is>
      </c>
      <c r="I133" s="5" t="inlineStr">
        <is>
          <t>-</t>
        </is>
      </c>
      <c r="J133" s="6" t="inlineStr">
        <is>
          <t>96 x 48 mm DIN cutout</t>
        </is>
      </c>
      <c r="K133" s="5" t="inlineStr">
        <is>
          <t>IP65</t>
        </is>
      </c>
      <c r="L133" s="6" t="inlineStr">
        <is>
          <t>Trip current: 50A; Minimum fault duration: 2.5 cycles; Operating temp: -30°C to +70°C (-40°C to +80°C for SupaRule); Automatic timer reset (4 or 8h / 10s after mains restore); Manual reset push button</t>
        </is>
      </c>
      <c r="M133" s="5" t="inlineStr">
        <is>
          <t>USD / Upon Request</t>
        </is>
      </c>
      <c r="N133" s="8" t="inlineStr">
        <is>
          <t>Upon request</t>
        </is>
      </c>
      <c r="O133" s="7" t="n"/>
      <c r="P133" s="8">
        <f>IF(ISNUMBER(N133),N133*(1-O133),N133)</f>
        <v/>
      </c>
      <c r="Q133" s="5" t="inlineStr">
        <is>
          <t>Upon request</t>
        </is>
      </c>
      <c r="R133" s="6" t="inlineStr">
        <is>
          <t>In Stock (Immediate Dispatch)</t>
        </is>
      </c>
      <c r="S133" s="6" t="inlineStr">
        <is>
          <t>Fascia DIN Cutout / Surface Mount</t>
        </is>
      </c>
      <c r="T133" s="6" t="inlineStr">
        <is>
          <t>IEC 61010, IEEE 495</t>
        </is>
      </c>
      <c r="U133" s="5" t="inlineStr">
        <is>
          <t>Page 27</t>
        </is>
      </c>
    </row>
    <row r="134" ht="20" customHeight="1">
      <c r="A134" s="10" t="inlineStr">
        <is>
          <t>Voltage Detection &amp; Presence (VDS/VPIS)</t>
        </is>
      </c>
      <c r="B134" s="10" t="inlineStr">
        <is>
          <t>VPIS and VDS Modules</t>
        </is>
      </c>
      <c r="C134" s="10" t="inlineStr">
        <is>
          <t>Lucy Electric VDS/VPIS</t>
        </is>
      </c>
      <c r="D134" s="10" t="inlineStr">
        <is>
          <t>VPIS-NEON</t>
        </is>
      </c>
      <c r="E134" s="10" t="inlineStr">
        <is>
          <t>Lucy Electric VPIS-NEON</t>
        </is>
      </c>
      <c r="F134" s="10" t="inlineStr">
        <is>
          <t>Voltage Presence Indication System (VPIS) with Neon Indicators &amp; Push-to-Test</t>
        </is>
      </c>
      <c r="G134" s="9" t="inlineStr">
        <is>
          <t>1 - 36kV (Bushing Divider Coupled)</t>
        </is>
      </c>
      <c r="H134" s="9" t="inlineStr">
        <is>
          <t>-</t>
        </is>
      </c>
      <c r="I134" s="9" t="inlineStr">
        <is>
          <t>-</t>
        </is>
      </c>
      <c r="J134" s="10" t="inlineStr">
        <is>
          <t>Fascia Mounted</t>
        </is>
      </c>
      <c r="K134" s="9" t="inlineStr">
        <is>
          <t>Phase Comparator Sockets</t>
        </is>
      </c>
      <c r="L134" s="10" t="inlineStr">
        <is>
          <t>Conforms to IEC 62271-206 (VPIS) and IEC 61243-5 (VDS); Detects presence and absence of voltage; Operating temp: -25°C to +65°C; LRM test sockets for phase sequence comparison</t>
        </is>
      </c>
      <c r="M134" s="9" t="inlineStr">
        <is>
          <t>USD / Upon Request</t>
        </is>
      </c>
      <c r="N134" s="12" t="inlineStr">
        <is>
          <t>Upon request</t>
        </is>
      </c>
      <c r="O134" s="11" t="n"/>
      <c r="P134" s="12">
        <f>IF(ISNUMBER(N134),N134*(1-O134),N134)</f>
        <v/>
      </c>
      <c r="Q134" s="9" t="inlineStr">
        <is>
          <t>Upon request</t>
        </is>
      </c>
      <c r="R134" s="10" t="inlineStr">
        <is>
          <t>In Stock (Immediate Dispatch)</t>
        </is>
      </c>
      <c r="S134" s="10" t="inlineStr">
        <is>
          <t>Fascia DIN Cutout (96 x 48 mm)</t>
        </is>
      </c>
      <c r="T134" s="10" t="inlineStr">
        <is>
          <t>IEC 62271-206, IEC 61243-5, DIN IEC 61554</t>
        </is>
      </c>
      <c r="U134" s="9" t="inlineStr">
        <is>
          <t>Page 28</t>
        </is>
      </c>
    </row>
    <row r="135" ht="20" customHeight="1">
      <c r="A135" s="6" t="inlineStr">
        <is>
          <t>Voltage Detection &amp; Presence (VDS/VPIS)</t>
        </is>
      </c>
      <c r="B135" s="6" t="inlineStr">
        <is>
          <t>VPIS and VDS Modules</t>
        </is>
      </c>
      <c r="C135" s="6" t="inlineStr">
        <is>
          <t>Pfisterer VDS/VPIS</t>
        </is>
      </c>
      <c r="D135" s="6" t="inlineStr">
        <is>
          <t>VPIS-PFISTERER</t>
        </is>
      </c>
      <c r="E135" s="6" t="inlineStr">
        <is>
          <t>Pfisterer VPIS-PFISTERER</t>
        </is>
      </c>
      <c r="F135" s="6" t="inlineStr">
        <is>
          <t>Voltage Presence Indication System (VPIS) with Pfisterer Sockets</t>
        </is>
      </c>
      <c r="G135" s="5" t="inlineStr">
        <is>
          <t>1 - 36kV (Bushing Divider Coupled)</t>
        </is>
      </c>
      <c r="H135" s="5" t="inlineStr">
        <is>
          <t>-</t>
        </is>
      </c>
      <c r="I135" s="5" t="inlineStr">
        <is>
          <t>-</t>
        </is>
      </c>
      <c r="J135" s="6" t="inlineStr">
        <is>
          <t>Fascia Mounted</t>
        </is>
      </c>
      <c r="K135" s="5" t="inlineStr">
        <is>
          <t>Passive Divider</t>
        </is>
      </c>
      <c r="L135" s="6" t="inlineStr">
        <is>
          <t>Conforms to IEC 62271-206 (VPIS) and IEC 61243-5 (VDS); Detects presence and absence of voltage; Operating temp: -25°C to +65°C; LRM test sockets for phase sequence comparison</t>
        </is>
      </c>
      <c r="M135" s="5" t="inlineStr">
        <is>
          <t>USD / Upon Request</t>
        </is>
      </c>
      <c r="N135" s="8" t="inlineStr">
        <is>
          <t>Upon request</t>
        </is>
      </c>
      <c r="O135" s="7" t="n"/>
      <c r="P135" s="8">
        <f>IF(ISNUMBER(N135),N135*(1-O135),N135)</f>
        <v/>
      </c>
      <c r="Q135" s="5" t="inlineStr">
        <is>
          <t>Upon request</t>
        </is>
      </c>
      <c r="R135" s="6" t="inlineStr">
        <is>
          <t>In Stock (Immediate Dispatch)</t>
        </is>
      </c>
      <c r="S135" s="6" t="inlineStr">
        <is>
          <t>Fascia DIN Cutout (96 x 48 mm)</t>
        </is>
      </c>
      <c r="T135" s="6" t="inlineStr">
        <is>
          <t>IEC 62271-206, IEC 61243-5, DIN IEC 61554</t>
        </is>
      </c>
      <c r="U135" s="5" t="inlineStr">
        <is>
          <t>Page 28</t>
        </is>
      </c>
    </row>
    <row r="136" ht="20" customHeight="1">
      <c r="A136" s="10" t="inlineStr">
        <is>
          <t>Voltage Detection &amp; Presence (VDS/VPIS)</t>
        </is>
      </c>
      <c r="B136" s="10" t="inlineStr">
        <is>
          <t>VPIS and VDS Modules</t>
        </is>
      </c>
      <c r="C136" s="10" t="inlineStr">
        <is>
          <t>Jordon VDS/VPIS</t>
        </is>
      </c>
      <c r="D136" s="10" t="inlineStr">
        <is>
          <t>VPIS-JORDON</t>
        </is>
      </c>
      <c r="E136" s="10" t="inlineStr">
        <is>
          <t>Jordon VPIS-JORDON</t>
        </is>
      </c>
      <c r="F136" s="10" t="inlineStr">
        <is>
          <t>Jordon VPIS Voltage Presence Indicator Module</t>
        </is>
      </c>
      <c r="G136" s="9" t="inlineStr">
        <is>
          <t>1 - 36kV (Bushing Divider Coupled)</t>
        </is>
      </c>
      <c r="H136" s="9" t="inlineStr">
        <is>
          <t>-</t>
        </is>
      </c>
      <c r="I136" s="9" t="inlineStr">
        <is>
          <t>-</t>
        </is>
      </c>
      <c r="J136" s="10" t="inlineStr">
        <is>
          <t>Fascia Mounted</t>
        </is>
      </c>
      <c r="K136" s="9" t="inlineStr">
        <is>
          <t>Bushing Divider</t>
        </is>
      </c>
      <c r="L136" s="10" t="inlineStr">
        <is>
          <t>Conforms to IEC 62271-206 (VPIS) and IEC 61243-5 (VDS); Detects presence and absence of voltage; Operating temp: -25°C to +65°C; LRM test sockets for phase sequence comparison</t>
        </is>
      </c>
      <c r="M136" s="9" t="inlineStr">
        <is>
          <t>USD / Upon Request</t>
        </is>
      </c>
      <c r="N136" s="12" t="inlineStr">
        <is>
          <t>Upon request</t>
        </is>
      </c>
      <c r="O136" s="11" t="n"/>
      <c r="P136" s="12">
        <f>IF(ISNUMBER(N136),N136*(1-O136),N136)</f>
        <v/>
      </c>
      <c r="Q136" s="9" t="inlineStr">
        <is>
          <t>Upon request</t>
        </is>
      </c>
      <c r="R136" s="10" t="inlineStr">
        <is>
          <t>In Stock (Immediate Dispatch)</t>
        </is>
      </c>
      <c r="S136" s="10" t="inlineStr">
        <is>
          <t>Fascia DIN Cutout (96 x 48 mm)</t>
        </is>
      </c>
      <c r="T136" s="10" t="inlineStr">
        <is>
          <t>IEC 62271-206, IEC 61243-5, DIN IEC 61554</t>
        </is>
      </c>
      <c r="U136" s="9" t="inlineStr">
        <is>
          <t>Page 28</t>
        </is>
      </c>
    </row>
    <row r="137" ht="20" customHeight="1">
      <c r="A137" s="6" t="inlineStr">
        <is>
          <t>Voltage Detection &amp; Presence (VDS/VPIS)</t>
        </is>
      </c>
      <c r="B137" s="6" t="inlineStr">
        <is>
          <t>VPIS and VDS Modules</t>
        </is>
      </c>
      <c r="C137" s="6" t="inlineStr">
        <is>
          <t>Horstmann VDS/VPIS</t>
        </is>
      </c>
      <c r="D137" s="6" t="inlineStr">
        <is>
          <t>WEGA 1.2 C</t>
        </is>
      </c>
      <c r="E137" s="6" t="inlineStr">
        <is>
          <t>Horstmann WEGA 1.2 C</t>
        </is>
      </c>
      <c r="F137" s="6" t="inlineStr">
        <is>
          <t>Horstmann WEGA 1.2 C Voltage Detecting System (VDS) to IEC 61243-5</t>
        </is>
      </c>
      <c r="G137" s="5" t="inlineStr">
        <is>
          <t>1 - 36kV (Bushing Divider Coupled)</t>
        </is>
      </c>
      <c r="H137" s="5" t="inlineStr">
        <is>
          <t>-</t>
        </is>
      </c>
      <c r="I137" s="5" t="inlineStr">
        <is>
          <t>-</t>
        </is>
      </c>
      <c r="J137" s="6" t="inlineStr">
        <is>
          <t>96 x 48 x 20 mm</t>
        </is>
      </c>
      <c r="K137" s="5" t="inlineStr">
        <is>
          <t>IP54</t>
        </is>
      </c>
      <c r="L137" s="6" t="inlineStr">
        <is>
          <t>Conforms to IEC 62271-206 (VPIS) and IEC 61243-5 (VDS); Detects presence and absence of voltage; Operating temp: -25°C to +65°C; LRM test sockets for phase sequence comparison</t>
        </is>
      </c>
      <c r="M137" s="5" t="inlineStr">
        <is>
          <t>USD / Upon Request</t>
        </is>
      </c>
      <c r="N137" s="8" t="inlineStr">
        <is>
          <t>Upon request</t>
        </is>
      </c>
      <c r="O137" s="7" t="n"/>
      <c r="P137" s="8">
        <f>IF(ISNUMBER(N137),N137*(1-O137),N137)</f>
        <v/>
      </c>
      <c r="Q137" s="5" t="inlineStr">
        <is>
          <t>Upon request</t>
        </is>
      </c>
      <c r="R137" s="6" t="inlineStr">
        <is>
          <t>In Stock (Immediate Dispatch)</t>
        </is>
      </c>
      <c r="S137" s="6" t="inlineStr">
        <is>
          <t>Fascia DIN Cutout (96 x 48 mm)</t>
        </is>
      </c>
      <c r="T137" s="6" t="inlineStr">
        <is>
          <t>IEC 62271-206, IEC 61243-5, DIN IEC 61554</t>
        </is>
      </c>
      <c r="U137" s="5" t="inlineStr">
        <is>
          <t>Page 28</t>
        </is>
      </c>
    </row>
    <row r="138" ht="20" customHeight="1">
      <c r="A138" s="10" t="inlineStr">
        <is>
          <t>Voltage Detection &amp; Presence (VDS/VPIS)</t>
        </is>
      </c>
      <c r="B138" s="10" t="inlineStr">
        <is>
          <t>VPIS and VDS Modules</t>
        </is>
      </c>
      <c r="C138" s="10" t="inlineStr">
        <is>
          <t>Horstmann VDS/VPIS</t>
        </is>
      </c>
      <c r="D138" s="10" t="inlineStr">
        <is>
          <t>WEGA 2.2 C</t>
        </is>
      </c>
      <c r="E138" s="10" t="inlineStr">
        <is>
          <t>Horstmann WEGA 2.2 C</t>
        </is>
      </c>
      <c r="F138" s="10" t="inlineStr">
        <is>
          <t>Horstmann WEGA 2.2 C VDS with Aux Power Supply &amp; Remote Indication Relays</t>
        </is>
      </c>
      <c r="G138" s="9" t="inlineStr">
        <is>
          <t>1 - 36kV (Bushing Divider Coupled)</t>
        </is>
      </c>
      <c r="H138" s="9" t="inlineStr">
        <is>
          <t>-</t>
        </is>
      </c>
      <c r="I138" s="9" t="inlineStr">
        <is>
          <t>-</t>
        </is>
      </c>
      <c r="J138" s="10" t="inlineStr">
        <is>
          <t>96 x 48 x 52 mm</t>
        </is>
      </c>
      <c r="K138" s="9" t="inlineStr">
        <is>
          <t>IP54</t>
        </is>
      </c>
      <c r="L138" s="10" t="inlineStr">
        <is>
          <t>Conforms to IEC 62271-206 (VPIS) and IEC 61243-5 (VDS); Detects presence and absence of voltage; Operating temp: -25°C to +65°C; LRM test sockets for phase sequence comparison</t>
        </is>
      </c>
      <c r="M138" s="9" t="inlineStr">
        <is>
          <t>USD / Upon Request</t>
        </is>
      </c>
      <c r="N138" s="12" t="inlineStr">
        <is>
          <t>Upon request</t>
        </is>
      </c>
      <c r="O138" s="11" t="n"/>
      <c r="P138" s="12">
        <f>IF(ISNUMBER(N138),N138*(1-O138),N138)</f>
        <v/>
      </c>
      <c r="Q138" s="9" t="inlineStr">
        <is>
          <t>Upon request</t>
        </is>
      </c>
      <c r="R138" s="10" t="inlineStr">
        <is>
          <t>In Stock (Immediate Dispatch)</t>
        </is>
      </c>
      <c r="S138" s="10" t="inlineStr">
        <is>
          <t>Fascia DIN Cutout (96 x 48 mm)</t>
        </is>
      </c>
      <c r="T138" s="10" t="inlineStr">
        <is>
          <t>IEC 62271-206, IEC 61243-5, DIN IEC 61554</t>
        </is>
      </c>
      <c r="U138" s="9" t="inlineStr">
        <is>
          <t>Page 28</t>
        </is>
      </c>
    </row>
    <row r="139" ht="20" customHeight="1">
      <c r="A139" s="6" t="inlineStr">
        <is>
          <t>Voltage Detection &amp; Presence (VDS/VPIS)</t>
        </is>
      </c>
      <c r="B139" s="6" t="inlineStr">
        <is>
          <t>VPIS and VDS Modules</t>
        </is>
      </c>
      <c r="C139" s="6" t="inlineStr">
        <is>
          <t>Horstmann VDS/VPIS</t>
        </is>
      </c>
      <c r="D139" s="6" t="inlineStr">
        <is>
          <t>WEGA 1.2 C vario</t>
        </is>
      </c>
      <c r="E139" s="6" t="inlineStr">
        <is>
          <t>Horstmann WEGA 1.2 C vario</t>
        </is>
      </c>
      <c r="F139" s="6" t="inlineStr">
        <is>
          <t>Horstmann WEGA 1.2 C vario VDS with Pluggable Capacitor Cube</t>
        </is>
      </c>
      <c r="G139" s="5" t="inlineStr">
        <is>
          <t>1 - 36kV (Bushing Divider Coupled)</t>
        </is>
      </c>
      <c r="H139" s="5" t="inlineStr">
        <is>
          <t>-</t>
        </is>
      </c>
      <c r="I139" s="5" t="inlineStr">
        <is>
          <t>-</t>
        </is>
      </c>
      <c r="J139" s="6" t="inlineStr">
        <is>
          <t>96 x 48 x 38 mm</t>
        </is>
      </c>
      <c r="K139" s="5" t="inlineStr">
        <is>
          <t>IP54</t>
        </is>
      </c>
      <c r="L139" s="6" t="inlineStr">
        <is>
          <t>Conforms to IEC 62271-206 (VPIS) and IEC 61243-5 (VDS); Detects presence and absence of voltage; Operating temp: -25°C to +65°C; LRM test sockets for phase sequence comparison</t>
        </is>
      </c>
      <c r="M139" s="5" t="inlineStr">
        <is>
          <t>USD / Upon Request</t>
        </is>
      </c>
      <c r="N139" s="8" t="inlineStr">
        <is>
          <t>Upon request</t>
        </is>
      </c>
      <c r="O139" s="7" t="n"/>
      <c r="P139" s="8">
        <f>IF(ISNUMBER(N139),N139*(1-O139),N139)</f>
        <v/>
      </c>
      <c r="Q139" s="5" t="inlineStr">
        <is>
          <t>Upon request</t>
        </is>
      </c>
      <c r="R139" s="6" t="inlineStr">
        <is>
          <t>In Stock (Immediate Dispatch)</t>
        </is>
      </c>
      <c r="S139" s="6" t="inlineStr">
        <is>
          <t>Fascia DIN Cutout (96 x 48 mm)</t>
        </is>
      </c>
      <c r="T139" s="6" t="inlineStr">
        <is>
          <t>IEC 62271-206, IEC 61243-5, DIN IEC 61554</t>
        </is>
      </c>
      <c r="U139" s="5" t="inlineStr">
        <is>
          <t>Page 28</t>
        </is>
      </c>
    </row>
    <row r="140" ht="20" customHeight="1">
      <c r="A140" s="10" t="inlineStr">
        <is>
          <t>Voltage Detection &amp; Presence (VDS/VPIS)</t>
        </is>
      </c>
      <c r="B140" s="10" t="inlineStr">
        <is>
          <t>VPIS and VDS Modules</t>
        </is>
      </c>
      <c r="C140" s="10" t="inlineStr">
        <is>
          <t>Horstmann VDS/VPIS</t>
        </is>
      </c>
      <c r="D140" s="10" t="inlineStr">
        <is>
          <t>WEGA 3</t>
        </is>
      </c>
      <c r="E140" s="10" t="inlineStr">
        <is>
          <t>Horstmann WEGA 3</t>
        </is>
      </c>
      <c r="F140" s="10" t="inlineStr">
        <is>
          <t>Horstmann WEGA 3 Voltage Detection System with LRM Test Point</t>
        </is>
      </c>
      <c r="G140" s="9" t="inlineStr">
        <is>
          <t>1 - 36kV (Bushing Divider Coupled)</t>
        </is>
      </c>
      <c r="H140" s="9" t="inlineStr">
        <is>
          <t>-</t>
        </is>
      </c>
      <c r="I140" s="9" t="inlineStr">
        <is>
          <t>-</t>
        </is>
      </c>
      <c r="J140" s="10" t="inlineStr">
        <is>
          <t>96 x 48 x 20 mm</t>
        </is>
      </c>
      <c r="K140" s="9" t="inlineStr">
        <is>
          <t>IP54</t>
        </is>
      </c>
      <c r="L140" s="10" t="inlineStr">
        <is>
          <t>Conforms to IEC 62271-206 (VPIS) and IEC 61243-5 (VDS); Detects presence and absence of voltage; Operating temp: -25°C to +65°C; LRM test sockets for phase sequence comparison</t>
        </is>
      </c>
      <c r="M140" s="9" t="inlineStr">
        <is>
          <t>USD / Upon Request</t>
        </is>
      </c>
      <c r="N140" s="12" t="inlineStr">
        <is>
          <t>Upon request</t>
        </is>
      </c>
      <c r="O140" s="11" t="n"/>
      <c r="P140" s="12">
        <f>IF(ISNUMBER(N140),N140*(1-O140),N140)</f>
        <v/>
      </c>
      <c r="Q140" s="9" t="inlineStr">
        <is>
          <t>Upon request</t>
        </is>
      </c>
      <c r="R140" s="10" t="inlineStr">
        <is>
          <t>In Stock (Immediate Dispatch)</t>
        </is>
      </c>
      <c r="S140" s="10" t="inlineStr">
        <is>
          <t>Fascia DIN Cutout (96 x 48 mm)</t>
        </is>
      </c>
      <c r="T140" s="10" t="inlineStr">
        <is>
          <t>IEC 62271-206, IEC 61243-5, DIN IEC 61554</t>
        </is>
      </c>
      <c r="U140" s="9" t="inlineStr">
        <is>
          <t>Page 28</t>
        </is>
      </c>
    </row>
    <row r="141" ht="20" customHeight="1">
      <c r="A141" s="6" t="inlineStr">
        <is>
          <t>Voltage Detection &amp; Presence (VDS/VPIS)</t>
        </is>
      </c>
      <c r="B141" s="6" t="inlineStr">
        <is>
          <t>VPIS and VDS Modules</t>
        </is>
      </c>
      <c r="C141" s="6" t="inlineStr">
        <is>
          <t>Kries VDS/VPIS</t>
        </is>
      </c>
      <c r="D141" s="6" t="inlineStr">
        <is>
          <t>Capdis S1+ (R4)</t>
        </is>
      </c>
      <c r="E141" s="6" t="inlineStr">
        <is>
          <t>Kries Capdis S1+ (R4)</t>
        </is>
      </c>
      <c r="F141" s="6" t="inlineStr">
        <is>
          <t>Kries Capdis S1+ (R4) Voltage Detecting and Monitoring System</t>
        </is>
      </c>
      <c r="G141" s="5" t="inlineStr">
        <is>
          <t>1 - 36kV (Bushing Divider Coupled)</t>
        </is>
      </c>
      <c r="H141" s="5" t="inlineStr">
        <is>
          <t>-</t>
        </is>
      </c>
      <c r="I141" s="5" t="inlineStr">
        <is>
          <t>-</t>
        </is>
      </c>
      <c r="J141" s="6" t="inlineStr">
        <is>
          <t>Integrated VDS</t>
        </is>
      </c>
      <c r="K141" s="5" t="inlineStr">
        <is>
          <t>IP54</t>
        </is>
      </c>
      <c r="L141" s="6" t="inlineStr">
        <is>
          <t>Conforms to IEC 62271-206 (VPIS) and IEC 61243-5 (VDS); Detects presence and absence of voltage; Operating temp: -25°C to +65°C; LRM test sockets for phase sequence comparison</t>
        </is>
      </c>
      <c r="M141" s="5" t="inlineStr">
        <is>
          <t>USD / Upon Request</t>
        </is>
      </c>
      <c r="N141" s="8" t="inlineStr">
        <is>
          <t>Upon request</t>
        </is>
      </c>
      <c r="O141" s="7" t="n"/>
      <c r="P141" s="8">
        <f>IF(ISNUMBER(N141),N141*(1-O141),N141)</f>
        <v/>
      </c>
      <c r="Q141" s="5" t="inlineStr">
        <is>
          <t>Upon request</t>
        </is>
      </c>
      <c r="R141" s="6" t="inlineStr">
        <is>
          <t>In Stock (Immediate Dispatch)</t>
        </is>
      </c>
      <c r="S141" s="6" t="inlineStr">
        <is>
          <t>Fascia DIN Cutout (96 x 48 mm)</t>
        </is>
      </c>
      <c r="T141" s="6" t="inlineStr">
        <is>
          <t>IEC 62271-206, IEC 61243-5, DIN IEC 61554</t>
        </is>
      </c>
      <c r="U141" s="5" t="inlineStr">
        <is>
          <t>Page 29</t>
        </is>
      </c>
    </row>
    <row r="142" ht="20" customHeight="1">
      <c r="A142" s="10" t="inlineStr">
        <is>
          <t>Voltage Detection &amp; Presence (VDS/VPIS)</t>
        </is>
      </c>
      <c r="B142" s="10" t="inlineStr">
        <is>
          <t>VPIS and VDS Modules</t>
        </is>
      </c>
      <c r="C142" s="10" t="inlineStr">
        <is>
          <t>Kries VDS/VPIS</t>
        </is>
      </c>
      <c r="D142" s="10" t="inlineStr">
        <is>
          <t>Capdis S2+ (R4)</t>
        </is>
      </c>
      <c r="E142" s="10" t="inlineStr">
        <is>
          <t>Kries Capdis S2+ (R4)</t>
        </is>
      </c>
      <c r="F142" s="10" t="inlineStr">
        <is>
          <t>Kries Capdis S2+ (R4) VDS with Earth Switch Interlock &amp; 2 Relay Outputs</t>
        </is>
      </c>
      <c r="G142" s="9" t="inlineStr">
        <is>
          <t>1 - 36kV (Bushing Divider Coupled)</t>
        </is>
      </c>
      <c r="H142" s="9" t="inlineStr">
        <is>
          <t>-</t>
        </is>
      </c>
      <c r="I142" s="9" t="inlineStr">
        <is>
          <t>-</t>
        </is>
      </c>
      <c r="J142" s="10" t="inlineStr">
        <is>
          <t>Integrated VDS</t>
        </is>
      </c>
      <c r="K142" s="9" t="inlineStr">
        <is>
          <t>IP54</t>
        </is>
      </c>
      <c r="L142" s="10" t="inlineStr">
        <is>
          <t>Conforms to IEC 62271-206 (VPIS) and IEC 61243-5 (VDS); Detects presence and absence of voltage; Operating temp: -25°C to +65°C; LRM test sockets for phase sequence comparison</t>
        </is>
      </c>
      <c r="M142" s="9" t="inlineStr">
        <is>
          <t>USD / Upon Request</t>
        </is>
      </c>
      <c r="N142" s="12" t="inlineStr">
        <is>
          <t>Upon request</t>
        </is>
      </c>
      <c r="O142" s="11" t="n"/>
      <c r="P142" s="12">
        <f>IF(ISNUMBER(N142),N142*(1-O142),N142)</f>
        <v/>
      </c>
      <c r="Q142" s="9" t="inlineStr">
        <is>
          <t>Upon request</t>
        </is>
      </c>
      <c r="R142" s="10" t="inlineStr">
        <is>
          <t>In Stock (Immediate Dispatch)</t>
        </is>
      </c>
      <c r="S142" s="10" t="inlineStr">
        <is>
          <t>Fascia DIN Cutout (96 x 48 mm)</t>
        </is>
      </c>
      <c r="T142" s="10" t="inlineStr">
        <is>
          <t>IEC 62271-206, IEC 61243-5, DIN IEC 61554</t>
        </is>
      </c>
      <c r="U142" s="9" t="inlineStr">
        <is>
          <t>Page 29</t>
        </is>
      </c>
    </row>
    <row r="143" ht="20" customHeight="1">
      <c r="A143" s="6" t="inlineStr">
        <is>
          <t>Cable Bushings &amp; Connectors</t>
        </is>
      </c>
      <c r="B143" s="6" t="inlineStr">
        <is>
          <t>Insulated T-Adapters</t>
        </is>
      </c>
      <c r="C143" s="6" t="inlineStr">
        <is>
          <t>TE Raychem RICS</t>
        </is>
      </c>
      <c r="D143" s="6" t="inlineStr">
        <is>
          <t>RICS-3133-ML-2-17</t>
        </is>
      </c>
      <c r="E143" s="6" t="inlineStr">
        <is>
          <t>RICS-3133 (70 - 150 mm²)</t>
        </is>
      </c>
      <c r="F143" s="6" t="inlineStr">
        <is>
          <t>TE Raychem RICS-3133 Insulated T-Adapter Kit for 70-150 mm² Polymeric Cables</t>
        </is>
      </c>
      <c r="G143" s="5" t="inlineStr">
        <is>
          <t>Up to 12kV</t>
        </is>
      </c>
      <c r="H143" s="5" t="inlineStr">
        <is>
          <t>630A</t>
        </is>
      </c>
      <c r="I143" s="5" t="inlineStr">
        <is>
          <t>-</t>
        </is>
      </c>
      <c r="J143" s="6" t="inlineStr">
        <is>
          <t>DIN 400 Type C profile</t>
        </is>
      </c>
      <c r="K143" s="5" t="inlineStr">
        <is>
          <t>Screened / Touch-Proof</t>
        </is>
      </c>
      <c r="L143" s="6" t="inlineStr">
        <is>
          <t>According to EN 50181 Type C; Thick-walled insulating elastomer adapter; Fits standard DIN 400 Type C bushings with M16 bolts; Includes mechanical lugs</t>
        </is>
      </c>
      <c r="M143" s="5" t="inlineStr">
        <is>
          <t>USD / Upon Request</t>
        </is>
      </c>
      <c r="N143" s="8" t="inlineStr">
        <is>
          <t>Upon request</t>
        </is>
      </c>
      <c r="O143" s="7" t="n"/>
      <c r="P143" s="8">
        <f>IF(ISNUMBER(N143),N143*(1-O143),N143)</f>
        <v/>
      </c>
      <c r="Q143" s="5" t="inlineStr">
        <is>
          <t>Upon request</t>
        </is>
      </c>
      <c r="R143" s="6" t="inlineStr">
        <is>
          <t>In Stock (Immediate Dispatch)</t>
        </is>
      </c>
      <c r="S143" s="6" t="inlineStr">
        <is>
          <t>Bolted to M16 Bushing Stud</t>
        </is>
      </c>
      <c r="T143" s="6" t="inlineStr">
        <is>
          <t>EN 50181 Type C, CENELEC HD 629.1</t>
        </is>
      </c>
      <c r="U143" s="5" t="inlineStr">
        <is>
          <t>Page 30</t>
        </is>
      </c>
    </row>
    <row r="144" ht="20" customHeight="1">
      <c r="A144" s="10" t="inlineStr">
        <is>
          <t>Cable Bushings &amp; Connectors</t>
        </is>
      </c>
      <c r="B144" s="10" t="inlineStr">
        <is>
          <t>Insulated T-Adapters</t>
        </is>
      </c>
      <c r="C144" s="10" t="inlineStr">
        <is>
          <t>TE Raychem RICS</t>
        </is>
      </c>
      <c r="D144" s="10" t="inlineStr">
        <is>
          <t>RICS-3133-ML-4-17</t>
        </is>
      </c>
      <c r="E144" s="10" t="inlineStr">
        <is>
          <t>RICS-3133 (95 - 240 mm²)</t>
        </is>
      </c>
      <c r="F144" s="10" t="inlineStr">
        <is>
          <t>TE Raychem RICS-3133 Insulated T-Adapter Kit for 95-240 mm² Polymeric Cables</t>
        </is>
      </c>
      <c r="G144" s="9" t="inlineStr">
        <is>
          <t>Up to 12kV</t>
        </is>
      </c>
      <c r="H144" s="9" t="inlineStr">
        <is>
          <t>630A</t>
        </is>
      </c>
      <c r="I144" s="9" t="inlineStr">
        <is>
          <t>-</t>
        </is>
      </c>
      <c r="J144" s="10" t="inlineStr">
        <is>
          <t>DIN 400 Type C profile</t>
        </is>
      </c>
      <c r="K144" s="9" t="inlineStr">
        <is>
          <t>Screened / Touch-Proof</t>
        </is>
      </c>
      <c r="L144" s="10" t="inlineStr">
        <is>
          <t>According to EN 50181 Type C; Thick-walled insulating elastomer adapter; Fits standard DIN 400 Type C bushings with M16 bolts; Includes mechanical lugs</t>
        </is>
      </c>
      <c r="M144" s="9" t="inlineStr">
        <is>
          <t>USD / Upon Request</t>
        </is>
      </c>
      <c r="N144" s="12" t="inlineStr">
        <is>
          <t>Upon request</t>
        </is>
      </c>
      <c r="O144" s="11" t="n"/>
      <c r="P144" s="12">
        <f>IF(ISNUMBER(N144),N144*(1-O144),N144)</f>
        <v/>
      </c>
      <c r="Q144" s="9" t="inlineStr">
        <is>
          <t>Upon request</t>
        </is>
      </c>
      <c r="R144" s="10" t="inlineStr">
        <is>
          <t>In Stock (Immediate Dispatch)</t>
        </is>
      </c>
      <c r="S144" s="10" t="inlineStr">
        <is>
          <t>Bolted to M16 Bushing Stud</t>
        </is>
      </c>
      <c r="T144" s="10" t="inlineStr">
        <is>
          <t>EN 50181 Type C, CENELEC HD 629.1</t>
        </is>
      </c>
      <c r="U144" s="9" t="inlineStr">
        <is>
          <t>Page 30</t>
        </is>
      </c>
    </row>
    <row r="145" ht="20" customHeight="1">
      <c r="A145" s="6" t="inlineStr">
        <is>
          <t>Cable Bushings &amp; Connectors</t>
        </is>
      </c>
      <c r="B145" s="6" t="inlineStr">
        <is>
          <t>Insulated T-Adapters</t>
        </is>
      </c>
      <c r="C145" s="6" t="inlineStr">
        <is>
          <t>TE Raychem RICS</t>
        </is>
      </c>
      <c r="D145" s="6" t="inlineStr">
        <is>
          <t>RICS-3133-ML-5-17</t>
        </is>
      </c>
      <c r="E145" s="6" t="inlineStr">
        <is>
          <t>RICS-3133 (120 - 300 mm²)</t>
        </is>
      </c>
      <c r="F145" s="6" t="inlineStr">
        <is>
          <t>TE Raychem RICS-3133 Insulated T-Adapter Kit for 120-300 mm² Polymeric Cables</t>
        </is>
      </c>
      <c r="G145" s="5" t="inlineStr">
        <is>
          <t>Up to 12kV</t>
        </is>
      </c>
      <c r="H145" s="5" t="inlineStr">
        <is>
          <t>630A</t>
        </is>
      </c>
      <c r="I145" s="5" t="inlineStr">
        <is>
          <t>-</t>
        </is>
      </c>
      <c r="J145" s="6" t="inlineStr">
        <is>
          <t>DIN 400 Type C profile</t>
        </is>
      </c>
      <c r="K145" s="5" t="inlineStr">
        <is>
          <t>Screened / Touch-Proof</t>
        </is>
      </c>
      <c r="L145" s="6" t="inlineStr">
        <is>
          <t>According to EN 50181 Type C; Thick-walled insulating elastomer adapter; Fits standard DIN 400 Type C bushings with M16 bolts; Includes mechanical lugs</t>
        </is>
      </c>
      <c r="M145" s="5" t="inlineStr">
        <is>
          <t>USD / Upon Request</t>
        </is>
      </c>
      <c r="N145" s="8" t="inlineStr">
        <is>
          <t>Upon request</t>
        </is>
      </c>
      <c r="O145" s="7" t="n"/>
      <c r="P145" s="8">
        <f>IF(ISNUMBER(N145),N145*(1-O145),N145)</f>
        <v/>
      </c>
      <c r="Q145" s="5" t="inlineStr">
        <is>
          <t>Upon request</t>
        </is>
      </c>
      <c r="R145" s="6" t="inlineStr">
        <is>
          <t>In Stock (Immediate Dispatch)</t>
        </is>
      </c>
      <c r="S145" s="6" t="inlineStr">
        <is>
          <t>Bolted to M16 Bushing Stud</t>
        </is>
      </c>
      <c r="T145" s="6" t="inlineStr">
        <is>
          <t>EN 50181 Type C, CENELEC HD 629.1</t>
        </is>
      </c>
      <c r="U145" s="5" t="inlineStr">
        <is>
          <t>Page 30</t>
        </is>
      </c>
    </row>
    <row r="146" ht="20" customHeight="1">
      <c r="A146" s="10" t="inlineStr">
        <is>
          <t>Cable Bushings &amp; Connectors</t>
        </is>
      </c>
      <c r="B146" s="10" t="inlineStr">
        <is>
          <t>Screened Separable Connectors (Single)</t>
        </is>
      </c>
      <c r="C146" s="10" t="inlineStr">
        <is>
          <t>TE Raychem RSTI-58</t>
        </is>
      </c>
      <c r="D146" s="10" t="inlineStr">
        <is>
          <t>RSTI-5810</t>
        </is>
      </c>
      <c r="E146" s="10" t="inlineStr">
        <is>
          <t>RSTI-58 (25 mm² Al)</t>
        </is>
      </c>
      <c r="F146" s="10" t="inlineStr">
        <is>
          <t>TE Raychem RSTI-58 Screened Separable Connector 800A with DIN Al Compression Lug (25 mm²)</t>
        </is>
      </c>
      <c r="G146" s="9" t="inlineStr">
        <is>
          <t>Up to 24kV</t>
        </is>
      </c>
      <c r="H146" s="9" t="inlineStr">
        <is>
          <t>800A</t>
        </is>
      </c>
      <c r="I146" s="9" t="inlineStr">
        <is>
          <t>-</t>
        </is>
      </c>
      <c r="J146" s="10" t="inlineStr">
        <is>
          <t>DIN 400 Type C interface</t>
        </is>
      </c>
      <c r="K146" s="9" t="inlineStr">
        <is>
          <t>IP67 Submersible / Touch-Proof</t>
        </is>
      </c>
      <c r="L146" s="10" t="inlineStr">
        <is>
          <t>Continuous current: 800A; Voltage rating: up to 24kV; Core insulation dia: 12.7 - 23.4 mm; Outer conductive EPDM screen; M16 threaded connection to DIN 400 Type C bushings</t>
        </is>
      </c>
      <c r="M146" s="9" t="inlineStr">
        <is>
          <t>USD / Upon Request</t>
        </is>
      </c>
      <c r="N146" s="12" t="inlineStr">
        <is>
          <t>Upon request</t>
        </is>
      </c>
      <c r="O146" s="11" t="n"/>
      <c r="P146" s="12">
        <f>IF(ISNUMBER(N146),N146*(1-O146),N146)</f>
        <v/>
      </c>
      <c r="Q146" s="9" t="inlineStr">
        <is>
          <t>Upon request</t>
        </is>
      </c>
      <c r="R146" s="10" t="inlineStr">
        <is>
          <t>In Stock (Immediate Dispatch)</t>
        </is>
      </c>
      <c r="S146" s="10" t="inlineStr">
        <is>
          <t>Bolted to Bushing M16 Stud</t>
        </is>
      </c>
      <c r="T146" s="10" t="inlineStr">
        <is>
          <t>CENELEC HD 629.1, EN 50180, EN 50181</t>
        </is>
      </c>
      <c r="U146" s="9" t="inlineStr">
        <is>
          <t>Page 31</t>
        </is>
      </c>
    </row>
    <row r="147" ht="20" customHeight="1">
      <c r="A147" s="6" t="inlineStr">
        <is>
          <t>Cable Bushings &amp; Connectors</t>
        </is>
      </c>
      <c r="B147" s="6" t="inlineStr">
        <is>
          <t>Screened Separable Connectors (Single)</t>
        </is>
      </c>
      <c r="C147" s="6" t="inlineStr">
        <is>
          <t>TE Raychem RSTI-58</t>
        </is>
      </c>
      <c r="D147" s="6" t="inlineStr">
        <is>
          <t>RSTI-5830</t>
        </is>
      </c>
      <c r="E147" s="6" t="inlineStr">
        <is>
          <t>RSTI-58 (25 mm² Cu)</t>
        </is>
      </c>
      <c r="F147" s="6" t="inlineStr">
        <is>
          <t>TE Raychem RSTI-58 Screened Separable Connector 800A with DIN Cu Compression Lug (25 mm²)</t>
        </is>
      </c>
      <c r="G147" s="5" t="inlineStr">
        <is>
          <t>Up to 24kV</t>
        </is>
      </c>
      <c r="H147" s="5" t="inlineStr">
        <is>
          <t>800A</t>
        </is>
      </c>
      <c r="I147" s="5" t="inlineStr">
        <is>
          <t>-</t>
        </is>
      </c>
      <c r="J147" s="6" t="inlineStr">
        <is>
          <t>DIN 400 Type C interface</t>
        </is>
      </c>
      <c r="K147" s="5" t="inlineStr">
        <is>
          <t>IP67 Submersible / Touch-Proof</t>
        </is>
      </c>
      <c r="L147" s="6" t="inlineStr">
        <is>
          <t>Continuous current: 800A; Voltage rating: up to 24kV; Core insulation dia: 12.7 - 23.4 mm; Outer conductive EPDM screen; M16 threaded connection to DIN 400 Type C bushings</t>
        </is>
      </c>
      <c r="M147" s="5" t="inlineStr">
        <is>
          <t>USD / Upon Request</t>
        </is>
      </c>
      <c r="N147" s="8" t="inlineStr">
        <is>
          <t>Upon request</t>
        </is>
      </c>
      <c r="O147" s="7" t="n"/>
      <c r="P147" s="8">
        <f>IF(ISNUMBER(N147),N147*(1-O147),N147)</f>
        <v/>
      </c>
      <c r="Q147" s="5" t="inlineStr">
        <is>
          <t>Upon request</t>
        </is>
      </c>
      <c r="R147" s="6" t="inlineStr">
        <is>
          <t>In Stock (Immediate Dispatch)</t>
        </is>
      </c>
      <c r="S147" s="6" t="inlineStr">
        <is>
          <t>Bolted to Bushing M16 Stud</t>
        </is>
      </c>
      <c r="T147" s="6" t="inlineStr">
        <is>
          <t>CENELEC HD 629.1, EN 50180, EN 50181</t>
        </is>
      </c>
      <c r="U147" s="5" t="inlineStr">
        <is>
          <t>Page 31</t>
        </is>
      </c>
    </row>
    <row r="148" ht="20" customHeight="1">
      <c r="A148" s="10" t="inlineStr">
        <is>
          <t>Cable Bushings &amp; Connectors</t>
        </is>
      </c>
      <c r="B148" s="10" t="inlineStr">
        <is>
          <t>Screened Separable Connectors (Single)</t>
        </is>
      </c>
      <c r="C148" s="10" t="inlineStr">
        <is>
          <t>TE Raychem RSTI-58</t>
        </is>
      </c>
      <c r="D148" s="10" t="inlineStr">
        <is>
          <t>RSTI-5811</t>
        </is>
      </c>
      <c r="E148" s="10" t="inlineStr">
        <is>
          <t>RSTI-58 (35 mm² Al)</t>
        </is>
      </c>
      <c r="F148" s="10" t="inlineStr">
        <is>
          <t>TE Raychem RSTI-58 Screened Separable Connector 800A with DIN Al Compression Lug (35 mm²)</t>
        </is>
      </c>
      <c r="G148" s="9" t="inlineStr">
        <is>
          <t>Up to 24kV</t>
        </is>
      </c>
      <c r="H148" s="9" t="inlineStr">
        <is>
          <t>800A</t>
        </is>
      </c>
      <c r="I148" s="9" t="inlineStr">
        <is>
          <t>-</t>
        </is>
      </c>
      <c r="J148" s="10" t="inlineStr">
        <is>
          <t>DIN 400 Type C interface</t>
        </is>
      </c>
      <c r="K148" s="9" t="inlineStr">
        <is>
          <t>IP67 Submersible / Touch-Proof</t>
        </is>
      </c>
      <c r="L148" s="10" t="inlineStr">
        <is>
          <t>Continuous current: 800A; Voltage rating: up to 24kV; Core insulation dia: 12.7 - 23.4 mm; Outer conductive EPDM screen; M16 threaded connection to DIN 400 Type C bushings</t>
        </is>
      </c>
      <c r="M148" s="9" t="inlineStr">
        <is>
          <t>USD / Upon Request</t>
        </is>
      </c>
      <c r="N148" s="12" t="inlineStr">
        <is>
          <t>Upon request</t>
        </is>
      </c>
      <c r="O148" s="11" t="n"/>
      <c r="P148" s="12">
        <f>IF(ISNUMBER(N148),N148*(1-O148),N148)</f>
        <v/>
      </c>
      <c r="Q148" s="9" t="inlineStr">
        <is>
          <t>Upon request</t>
        </is>
      </c>
      <c r="R148" s="10" t="inlineStr">
        <is>
          <t>In Stock (Immediate Dispatch)</t>
        </is>
      </c>
      <c r="S148" s="10" t="inlineStr">
        <is>
          <t>Bolted to Bushing M16 Stud</t>
        </is>
      </c>
      <c r="T148" s="10" t="inlineStr">
        <is>
          <t>CENELEC HD 629.1, EN 50180, EN 50181</t>
        </is>
      </c>
      <c r="U148" s="9" t="inlineStr">
        <is>
          <t>Page 31</t>
        </is>
      </c>
    </row>
    <row r="149" ht="20" customHeight="1">
      <c r="A149" s="6" t="inlineStr">
        <is>
          <t>Cable Bushings &amp; Connectors</t>
        </is>
      </c>
      <c r="B149" s="6" t="inlineStr">
        <is>
          <t>Screened Separable Connectors (Single)</t>
        </is>
      </c>
      <c r="C149" s="6" t="inlineStr">
        <is>
          <t>TE Raychem RSTI-58</t>
        </is>
      </c>
      <c r="D149" s="6" t="inlineStr">
        <is>
          <t>RSTI-5831</t>
        </is>
      </c>
      <c r="E149" s="6" t="inlineStr">
        <is>
          <t>RSTI-58 (35 mm² Cu)</t>
        </is>
      </c>
      <c r="F149" s="6" t="inlineStr">
        <is>
          <t>TE Raychem RSTI-58 Screened Separable Connector 800A with DIN Cu Compression Lug (35 mm²)</t>
        </is>
      </c>
      <c r="G149" s="5" t="inlineStr">
        <is>
          <t>Up to 24kV</t>
        </is>
      </c>
      <c r="H149" s="5" t="inlineStr">
        <is>
          <t>800A</t>
        </is>
      </c>
      <c r="I149" s="5" t="inlineStr">
        <is>
          <t>-</t>
        </is>
      </c>
      <c r="J149" s="6" t="inlineStr">
        <is>
          <t>DIN 400 Type C interface</t>
        </is>
      </c>
      <c r="K149" s="5" t="inlineStr">
        <is>
          <t>IP67 Submersible / Touch-Proof</t>
        </is>
      </c>
      <c r="L149" s="6" t="inlineStr">
        <is>
          <t>Continuous current: 800A; Voltage rating: up to 24kV; Core insulation dia: 12.7 - 23.4 mm; Outer conductive EPDM screen; M16 threaded connection to DIN 400 Type C bushings</t>
        </is>
      </c>
      <c r="M149" s="5" t="inlineStr">
        <is>
          <t>USD / Upon Request</t>
        </is>
      </c>
      <c r="N149" s="8" t="inlineStr">
        <is>
          <t>Upon request</t>
        </is>
      </c>
      <c r="O149" s="7" t="n"/>
      <c r="P149" s="8">
        <f>IF(ISNUMBER(N149),N149*(1-O149),N149)</f>
        <v/>
      </c>
      <c r="Q149" s="5" t="inlineStr">
        <is>
          <t>Upon request</t>
        </is>
      </c>
      <c r="R149" s="6" t="inlineStr">
        <is>
          <t>In Stock (Immediate Dispatch)</t>
        </is>
      </c>
      <c r="S149" s="6" t="inlineStr">
        <is>
          <t>Bolted to Bushing M16 Stud</t>
        </is>
      </c>
      <c r="T149" s="6" t="inlineStr">
        <is>
          <t>CENELEC HD 629.1, EN 50180, EN 50181</t>
        </is>
      </c>
      <c r="U149" s="5" t="inlineStr">
        <is>
          <t>Page 31</t>
        </is>
      </c>
    </row>
    <row r="150" ht="20" customHeight="1">
      <c r="A150" s="10" t="inlineStr">
        <is>
          <t>Cable Bushings &amp; Connectors</t>
        </is>
      </c>
      <c r="B150" s="10" t="inlineStr">
        <is>
          <t>Screened Separable Connectors (Single)</t>
        </is>
      </c>
      <c r="C150" s="10" t="inlineStr">
        <is>
          <t>TE Raychem RSTI-58</t>
        </is>
      </c>
      <c r="D150" s="10" t="inlineStr">
        <is>
          <t>RSTI-5812</t>
        </is>
      </c>
      <c r="E150" s="10" t="inlineStr">
        <is>
          <t>RSTI-58 (50 mm² Al)</t>
        </is>
      </c>
      <c r="F150" s="10" t="inlineStr">
        <is>
          <t>TE Raychem RSTI-58 Screened Separable Connector 800A with DIN Al Compression Lug (50 mm²)</t>
        </is>
      </c>
      <c r="G150" s="9" t="inlineStr">
        <is>
          <t>Up to 24kV</t>
        </is>
      </c>
      <c r="H150" s="9" t="inlineStr">
        <is>
          <t>800A</t>
        </is>
      </c>
      <c r="I150" s="9" t="inlineStr">
        <is>
          <t>-</t>
        </is>
      </c>
      <c r="J150" s="10" t="inlineStr">
        <is>
          <t>DIN 400 Type C interface</t>
        </is>
      </c>
      <c r="K150" s="9" t="inlineStr">
        <is>
          <t>IP67 Submersible / Touch-Proof</t>
        </is>
      </c>
      <c r="L150" s="10" t="inlineStr">
        <is>
          <t>Continuous current: 800A; Voltage rating: up to 24kV; Core insulation dia: 12.7 - 23.4 mm; Outer conductive EPDM screen; M16 threaded connection to DIN 400 Type C bushings</t>
        </is>
      </c>
      <c r="M150" s="9" t="inlineStr">
        <is>
          <t>USD / Upon Request</t>
        </is>
      </c>
      <c r="N150" s="12" t="inlineStr">
        <is>
          <t>Upon request</t>
        </is>
      </c>
      <c r="O150" s="11" t="n"/>
      <c r="P150" s="12">
        <f>IF(ISNUMBER(N150),N150*(1-O150),N150)</f>
        <v/>
      </c>
      <c r="Q150" s="9" t="inlineStr">
        <is>
          <t>Upon request</t>
        </is>
      </c>
      <c r="R150" s="10" t="inlineStr">
        <is>
          <t>In Stock (Immediate Dispatch)</t>
        </is>
      </c>
      <c r="S150" s="10" t="inlineStr">
        <is>
          <t>Bolted to Bushing M16 Stud</t>
        </is>
      </c>
      <c r="T150" s="10" t="inlineStr">
        <is>
          <t>CENELEC HD 629.1, EN 50180, EN 50181</t>
        </is>
      </c>
      <c r="U150" s="9" t="inlineStr">
        <is>
          <t>Page 31</t>
        </is>
      </c>
    </row>
    <row r="151" ht="20" customHeight="1">
      <c r="A151" s="6" t="inlineStr">
        <is>
          <t>Cable Bushings &amp; Connectors</t>
        </is>
      </c>
      <c r="B151" s="6" t="inlineStr">
        <is>
          <t>Screened Separable Connectors (Single)</t>
        </is>
      </c>
      <c r="C151" s="6" t="inlineStr">
        <is>
          <t>TE Raychem RSTI-58</t>
        </is>
      </c>
      <c r="D151" s="6" t="inlineStr">
        <is>
          <t>RSTI-5832</t>
        </is>
      </c>
      <c r="E151" s="6" t="inlineStr">
        <is>
          <t>RSTI-58 (50 mm² Cu)</t>
        </is>
      </c>
      <c r="F151" s="6" t="inlineStr">
        <is>
          <t>TE Raychem RSTI-58 Screened Separable Connector 800A with DIN Cu Compression Lug (50 mm²)</t>
        </is>
      </c>
      <c r="G151" s="5" t="inlineStr">
        <is>
          <t>Up to 24kV</t>
        </is>
      </c>
      <c r="H151" s="5" t="inlineStr">
        <is>
          <t>800A</t>
        </is>
      </c>
      <c r="I151" s="5" t="inlineStr">
        <is>
          <t>-</t>
        </is>
      </c>
      <c r="J151" s="6" t="inlineStr">
        <is>
          <t>DIN 400 Type C interface</t>
        </is>
      </c>
      <c r="K151" s="5" t="inlineStr">
        <is>
          <t>IP67 Submersible / Touch-Proof</t>
        </is>
      </c>
      <c r="L151" s="6" t="inlineStr">
        <is>
          <t>Continuous current: 800A; Voltage rating: up to 24kV; Core insulation dia: 12.7 - 23.4 mm; Outer conductive EPDM screen; M16 threaded connection to DIN 400 Type C bushings</t>
        </is>
      </c>
      <c r="M151" s="5" t="inlineStr">
        <is>
          <t>USD / Upon Request</t>
        </is>
      </c>
      <c r="N151" s="8" t="inlineStr">
        <is>
          <t>Upon request</t>
        </is>
      </c>
      <c r="O151" s="7" t="n"/>
      <c r="P151" s="8">
        <f>IF(ISNUMBER(N151),N151*(1-O151),N151)</f>
        <v/>
      </c>
      <c r="Q151" s="5" t="inlineStr">
        <is>
          <t>Upon request</t>
        </is>
      </c>
      <c r="R151" s="6" t="inlineStr">
        <is>
          <t>In Stock (Immediate Dispatch)</t>
        </is>
      </c>
      <c r="S151" s="6" t="inlineStr">
        <is>
          <t>Bolted to Bushing M16 Stud</t>
        </is>
      </c>
      <c r="T151" s="6" t="inlineStr">
        <is>
          <t>CENELEC HD 629.1, EN 50180, EN 50181</t>
        </is>
      </c>
      <c r="U151" s="5" t="inlineStr">
        <is>
          <t>Page 31</t>
        </is>
      </c>
    </row>
    <row r="152" ht="20" customHeight="1">
      <c r="A152" s="10" t="inlineStr">
        <is>
          <t>Cable Bushings &amp; Connectors</t>
        </is>
      </c>
      <c r="B152" s="10" t="inlineStr">
        <is>
          <t>Screened Separable Connectors (Single)</t>
        </is>
      </c>
      <c r="C152" s="10" t="inlineStr">
        <is>
          <t>TE Raychem RSTI-58</t>
        </is>
      </c>
      <c r="D152" s="10" t="inlineStr">
        <is>
          <t>RSTI-5813</t>
        </is>
      </c>
      <c r="E152" s="10" t="inlineStr">
        <is>
          <t>RSTI-58 (70 mm² Al)</t>
        </is>
      </c>
      <c r="F152" s="10" t="inlineStr">
        <is>
          <t>TE Raychem RSTI-58 Screened Separable Connector 800A with DIN Al Compression Lug (70 mm²)</t>
        </is>
      </c>
      <c r="G152" s="9" t="inlineStr">
        <is>
          <t>Up to 24kV</t>
        </is>
      </c>
      <c r="H152" s="9" t="inlineStr">
        <is>
          <t>800A</t>
        </is>
      </c>
      <c r="I152" s="9" t="inlineStr">
        <is>
          <t>-</t>
        </is>
      </c>
      <c r="J152" s="10" t="inlineStr">
        <is>
          <t>DIN 400 Type C interface</t>
        </is>
      </c>
      <c r="K152" s="9" t="inlineStr">
        <is>
          <t>IP67 Submersible / Touch-Proof</t>
        </is>
      </c>
      <c r="L152" s="10" t="inlineStr">
        <is>
          <t>Continuous current: 800A; Voltage rating: up to 24kV; Core insulation dia: 12.7 - 23.4 mm; Outer conductive EPDM screen; M16 threaded connection to DIN 400 Type C bushings</t>
        </is>
      </c>
      <c r="M152" s="9" t="inlineStr">
        <is>
          <t>USD / Upon Request</t>
        </is>
      </c>
      <c r="N152" s="12" t="inlineStr">
        <is>
          <t>Upon request</t>
        </is>
      </c>
      <c r="O152" s="11" t="n"/>
      <c r="P152" s="12">
        <f>IF(ISNUMBER(N152),N152*(1-O152),N152)</f>
        <v/>
      </c>
      <c r="Q152" s="9" t="inlineStr">
        <is>
          <t>Upon request</t>
        </is>
      </c>
      <c r="R152" s="10" t="inlineStr">
        <is>
          <t>In Stock (Immediate Dispatch)</t>
        </is>
      </c>
      <c r="S152" s="10" t="inlineStr">
        <is>
          <t>Bolted to Bushing M16 Stud</t>
        </is>
      </c>
      <c r="T152" s="10" t="inlineStr">
        <is>
          <t>CENELEC HD 629.1, EN 50180, EN 50181</t>
        </is>
      </c>
      <c r="U152" s="9" t="inlineStr">
        <is>
          <t>Page 31</t>
        </is>
      </c>
    </row>
    <row r="153" ht="20" customHeight="1">
      <c r="A153" s="6" t="inlineStr">
        <is>
          <t>Cable Bushings &amp; Connectors</t>
        </is>
      </c>
      <c r="B153" s="6" t="inlineStr">
        <is>
          <t>Screened Separable Connectors (Single)</t>
        </is>
      </c>
      <c r="C153" s="6" t="inlineStr">
        <is>
          <t>TE Raychem RSTI-58</t>
        </is>
      </c>
      <c r="D153" s="6" t="inlineStr">
        <is>
          <t>RSTI-5833</t>
        </is>
      </c>
      <c r="E153" s="6" t="inlineStr">
        <is>
          <t>RSTI-58 (70 mm² Cu)</t>
        </is>
      </c>
      <c r="F153" s="6" t="inlineStr">
        <is>
          <t>TE Raychem RSTI-58 Screened Separable Connector 800A with DIN Cu Compression Lug (70 mm²)</t>
        </is>
      </c>
      <c r="G153" s="5" t="inlineStr">
        <is>
          <t>Up to 24kV</t>
        </is>
      </c>
      <c r="H153" s="5" t="inlineStr">
        <is>
          <t>800A</t>
        </is>
      </c>
      <c r="I153" s="5" t="inlineStr">
        <is>
          <t>-</t>
        </is>
      </c>
      <c r="J153" s="6" t="inlineStr">
        <is>
          <t>DIN 400 Type C interface</t>
        </is>
      </c>
      <c r="K153" s="5" t="inlineStr">
        <is>
          <t>IP67 Submersible / Touch-Proof</t>
        </is>
      </c>
      <c r="L153" s="6" t="inlineStr">
        <is>
          <t>Continuous current: 800A; Voltage rating: up to 24kV; Core insulation dia: 12.7 - 23.4 mm; Outer conductive EPDM screen; M16 threaded connection to DIN 400 Type C bushings</t>
        </is>
      </c>
      <c r="M153" s="5" t="inlineStr">
        <is>
          <t>USD / Upon Request</t>
        </is>
      </c>
      <c r="N153" s="8" t="inlineStr">
        <is>
          <t>Upon request</t>
        </is>
      </c>
      <c r="O153" s="7" t="n"/>
      <c r="P153" s="8">
        <f>IF(ISNUMBER(N153),N153*(1-O153),N153)</f>
        <v/>
      </c>
      <c r="Q153" s="5" t="inlineStr">
        <is>
          <t>Upon request</t>
        </is>
      </c>
      <c r="R153" s="6" t="inlineStr">
        <is>
          <t>In Stock (Immediate Dispatch)</t>
        </is>
      </c>
      <c r="S153" s="6" t="inlineStr">
        <is>
          <t>Bolted to Bushing M16 Stud</t>
        </is>
      </c>
      <c r="T153" s="6" t="inlineStr">
        <is>
          <t>CENELEC HD 629.1, EN 50180, EN 50181</t>
        </is>
      </c>
      <c r="U153" s="5" t="inlineStr">
        <is>
          <t>Page 31</t>
        </is>
      </c>
    </row>
    <row r="154" ht="20" customHeight="1">
      <c r="A154" s="10" t="inlineStr">
        <is>
          <t>Cable Bushings &amp; Connectors</t>
        </is>
      </c>
      <c r="B154" s="10" t="inlineStr">
        <is>
          <t>Screened Separable Connectors (Single)</t>
        </is>
      </c>
      <c r="C154" s="10" t="inlineStr">
        <is>
          <t>TE Raychem RSTI-58</t>
        </is>
      </c>
      <c r="D154" s="10" t="inlineStr">
        <is>
          <t>RSTI-5814</t>
        </is>
      </c>
      <c r="E154" s="10" t="inlineStr">
        <is>
          <t>RSTI-58 (95 mm² (12kV) Al)</t>
        </is>
      </c>
      <c r="F154" s="10" t="inlineStr">
        <is>
          <t>TE Raychem RSTI-58 Screened Separable Connector 800A with DIN Al Compression Lug (95 mm² (12kV))</t>
        </is>
      </c>
      <c r="G154" s="9" t="inlineStr">
        <is>
          <t>Up to 24kV</t>
        </is>
      </c>
      <c r="H154" s="9" t="inlineStr">
        <is>
          <t>800A</t>
        </is>
      </c>
      <c r="I154" s="9" t="inlineStr">
        <is>
          <t>-</t>
        </is>
      </c>
      <c r="J154" s="10" t="inlineStr">
        <is>
          <t>DIN 400 Type C interface</t>
        </is>
      </c>
      <c r="K154" s="9" t="inlineStr">
        <is>
          <t>IP67 Submersible / Touch-Proof</t>
        </is>
      </c>
      <c r="L154" s="10" t="inlineStr">
        <is>
          <t>Continuous current: 800A; Voltage rating: up to 24kV; Core insulation dia: 12.7 - 23.4 mm; Outer conductive EPDM screen; M16 threaded connection to DIN 400 Type C bushings</t>
        </is>
      </c>
      <c r="M154" s="9" t="inlineStr">
        <is>
          <t>USD / Upon Request</t>
        </is>
      </c>
      <c r="N154" s="12" t="inlineStr">
        <is>
          <t>Upon request</t>
        </is>
      </c>
      <c r="O154" s="11" t="n"/>
      <c r="P154" s="12">
        <f>IF(ISNUMBER(N154),N154*(1-O154),N154)</f>
        <v/>
      </c>
      <c r="Q154" s="9" t="inlineStr">
        <is>
          <t>Upon request</t>
        </is>
      </c>
      <c r="R154" s="10" t="inlineStr">
        <is>
          <t>In Stock (Immediate Dispatch)</t>
        </is>
      </c>
      <c r="S154" s="10" t="inlineStr">
        <is>
          <t>Bolted to Bushing M16 Stud</t>
        </is>
      </c>
      <c r="T154" s="10" t="inlineStr">
        <is>
          <t>CENELEC HD 629.1, EN 50180, EN 50181</t>
        </is>
      </c>
      <c r="U154" s="9" t="inlineStr">
        <is>
          <t>Page 31</t>
        </is>
      </c>
    </row>
    <row r="155" ht="20" customHeight="1">
      <c r="A155" s="6" t="inlineStr">
        <is>
          <t>Cable Bushings &amp; Connectors</t>
        </is>
      </c>
      <c r="B155" s="6" t="inlineStr">
        <is>
          <t>Screened Separable Connectors (Single)</t>
        </is>
      </c>
      <c r="C155" s="6" t="inlineStr">
        <is>
          <t>TE Raychem RSTI-58</t>
        </is>
      </c>
      <c r="D155" s="6" t="inlineStr">
        <is>
          <t>RSTI-5834</t>
        </is>
      </c>
      <c r="E155" s="6" t="inlineStr">
        <is>
          <t>RSTI-58 (95 mm² (12kV) Cu)</t>
        </is>
      </c>
      <c r="F155" s="6" t="inlineStr">
        <is>
          <t>TE Raychem RSTI-58 Screened Separable Connector 800A with DIN Cu Compression Lug (95 mm² (12kV))</t>
        </is>
      </c>
      <c r="G155" s="5" t="inlineStr">
        <is>
          <t>Up to 24kV</t>
        </is>
      </c>
      <c r="H155" s="5" t="inlineStr">
        <is>
          <t>800A</t>
        </is>
      </c>
      <c r="I155" s="5" t="inlineStr">
        <is>
          <t>-</t>
        </is>
      </c>
      <c r="J155" s="6" t="inlineStr">
        <is>
          <t>DIN 400 Type C interface</t>
        </is>
      </c>
      <c r="K155" s="5" t="inlineStr">
        <is>
          <t>IP67 Submersible / Touch-Proof</t>
        </is>
      </c>
      <c r="L155" s="6" t="inlineStr">
        <is>
          <t>Continuous current: 800A; Voltage rating: up to 24kV; Core insulation dia: 12.7 - 23.4 mm; Outer conductive EPDM screen; M16 threaded connection to DIN 400 Type C bushings</t>
        </is>
      </c>
      <c r="M155" s="5" t="inlineStr">
        <is>
          <t>USD / Upon Request</t>
        </is>
      </c>
      <c r="N155" s="8" t="inlineStr">
        <is>
          <t>Upon request</t>
        </is>
      </c>
      <c r="O155" s="7" t="n"/>
      <c r="P155" s="8">
        <f>IF(ISNUMBER(N155),N155*(1-O155),N155)</f>
        <v/>
      </c>
      <c r="Q155" s="5" t="inlineStr">
        <is>
          <t>Upon request</t>
        </is>
      </c>
      <c r="R155" s="6" t="inlineStr">
        <is>
          <t>In Stock (Immediate Dispatch)</t>
        </is>
      </c>
      <c r="S155" s="6" t="inlineStr">
        <is>
          <t>Bolted to Bushing M16 Stud</t>
        </is>
      </c>
      <c r="T155" s="6" t="inlineStr">
        <is>
          <t>CENELEC HD 629.1, EN 50180, EN 50181</t>
        </is>
      </c>
      <c r="U155" s="5" t="inlineStr">
        <is>
          <t>Page 31</t>
        </is>
      </c>
    </row>
    <row r="156" ht="20" customHeight="1">
      <c r="A156" s="10" t="inlineStr">
        <is>
          <t>Cable Bushings &amp; Connectors</t>
        </is>
      </c>
      <c r="B156" s="10" t="inlineStr">
        <is>
          <t>Screened Separable Connectors (Single)</t>
        </is>
      </c>
      <c r="C156" s="10" t="inlineStr">
        <is>
          <t>TE Raychem RSTI-58</t>
        </is>
      </c>
      <c r="D156" s="10" t="inlineStr">
        <is>
          <t>RSTI-5824</t>
        </is>
      </c>
      <c r="E156" s="10" t="inlineStr">
        <is>
          <t>RSTI-58 (95 mm² (24kV) Al)</t>
        </is>
      </c>
      <c r="F156" s="10" t="inlineStr">
        <is>
          <t>TE Raychem RSTI-58 Screened Separable Connector 800A with DIN Al Compression Lug (95 mm² (24kV))</t>
        </is>
      </c>
      <c r="G156" s="9" t="inlineStr">
        <is>
          <t>Up to 24kV</t>
        </is>
      </c>
      <c r="H156" s="9" t="inlineStr">
        <is>
          <t>800A</t>
        </is>
      </c>
      <c r="I156" s="9" t="inlineStr">
        <is>
          <t>-</t>
        </is>
      </c>
      <c r="J156" s="10" t="inlineStr">
        <is>
          <t>DIN 400 Type C interface</t>
        </is>
      </c>
      <c r="K156" s="9" t="inlineStr">
        <is>
          <t>IP67 Submersible / Touch-Proof</t>
        </is>
      </c>
      <c r="L156" s="10" t="inlineStr">
        <is>
          <t>Continuous current: 800A; Voltage rating: up to 24kV; Core insulation dia: 21.2 - 34.6 mm; Outer conductive EPDM screen; M16 threaded connection to DIN 400 Type C bushings</t>
        </is>
      </c>
      <c r="M156" s="9" t="inlineStr">
        <is>
          <t>USD / Upon Request</t>
        </is>
      </c>
      <c r="N156" s="12" t="inlineStr">
        <is>
          <t>Upon request</t>
        </is>
      </c>
      <c r="O156" s="11" t="n"/>
      <c r="P156" s="12">
        <f>IF(ISNUMBER(N156),N156*(1-O156),N156)</f>
        <v/>
      </c>
      <c r="Q156" s="9" t="inlineStr">
        <is>
          <t>Upon request</t>
        </is>
      </c>
      <c r="R156" s="10" t="inlineStr">
        <is>
          <t>In Stock (Immediate Dispatch)</t>
        </is>
      </c>
      <c r="S156" s="10" t="inlineStr">
        <is>
          <t>Bolted to Bushing M16 Stud</t>
        </is>
      </c>
      <c r="T156" s="10" t="inlineStr">
        <is>
          <t>CENELEC HD 629.1, EN 50180, EN 50181</t>
        </is>
      </c>
      <c r="U156" s="9" t="inlineStr">
        <is>
          <t>Page 31</t>
        </is>
      </c>
    </row>
    <row r="157" ht="20" customHeight="1">
      <c r="A157" s="6" t="inlineStr">
        <is>
          <t>Cable Bushings &amp; Connectors</t>
        </is>
      </c>
      <c r="B157" s="6" t="inlineStr">
        <is>
          <t>Screened Separable Connectors (Single)</t>
        </is>
      </c>
      <c r="C157" s="6" t="inlineStr">
        <is>
          <t>TE Raychem RSTI-58</t>
        </is>
      </c>
      <c r="D157" s="6" t="inlineStr">
        <is>
          <t>RSTI-5844</t>
        </is>
      </c>
      <c r="E157" s="6" t="inlineStr">
        <is>
          <t>RSTI-58 (95 mm² (24kV) Cu)</t>
        </is>
      </c>
      <c r="F157" s="6" t="inlineStr">
        <is>
          <t>TE Raychem RSTI-58 Screened Separable Connector 800A with DIN Cu Compression Lug (95 mm² (24kV))</t>
        </is>
      </c>
      <c r="G157" s="5" t="inlineStr">
        <is>
          <t>Up to 24kV</t>
        </is>
      </c>
      <c r="H157" s="5" t="inlineStr">
        <is>
          <t>800A</t>
        </is>
      </c>
      <c r="I157" s="5" t="inlineStr">
        <is>
          <t>-</t>
        </is>
      </c>
      <c r="J157" s="6" t="inlineStr">
        <is>
          <t>DIN 400 Type C interface</t>
        </is>
      </c>
      <c r="K157" s="5" t="inlineStr">
        <is>
          <t>IP67 Submersible / Touch-Proof</t>
        </is>
      </c>
      <c r="L157" s="6" t="inlineStr">
        <is>
          <t>Continuous current: 800A; Voltage rating: up to 24kV; Core insulation dia: 21.2 - 34.6 mm; Outer conductive EPDM screen; M16 threaded connection to DIN 400 Type C bushings</t>
        </is>
      </c>
      <c r="M157" s="5" t="inlineStr">
        <is>
          <t>USD / Upon Request</t>
        </is>
      </c>
      <c r="N157" s="8" t="inlineStr">
        <is>
          <t>Upon request</t>
        </is>
      </c>
      <c r="O157" s="7" t="n"/>
      <c r="P157" s="8">
        <f>IF(ISNUMBER(N157),N157*(1-O157),N157)</f>
        <v/>
      </c>
      <c r="Q157" s="5" t="inlineStr">
        <is>
          <t>Upon request</t>
        </is>
      </c>
      <c r="R157" s="6" t="inlineStr">
        <is>
          <t>In Stock (Immediate Dispatch)</t>
        </is>
      </c>
      <c r="S157" s="6" t="inlineStr">
        <is>
          <t>Bolted to Bushing M16 Stud</t>
        </is>
      </c>
      <c r="T157" s="6" t="inlineStr">
        <is>
          <t>CENELEC HD 629.1, EN 50180, EN 50181</t>
        </is>
      </c>
      <c r="U157" s="5" t="inlineStr">
        <is>
          <t>Page 31</t>
        </is>
      </c>
    </row>
    <row r="158" ht="20" customHeight="1">
      <c r="A158" s="10" t="inlineStr">
        <is>
          <t>Cable Bushings &amp; Connectors</t>
        </is>
      </c>
      <c r="B158" s="10" t="inlineStr">
        <is>
          <t>Screened Separable Connectors (Single)</t>
        </is>
      </c>
      <c r="C158" s="10" t="inlineStr">
        <is>
          <t>TE Raychem RSTI-58</t>
        </is>
      </c>
      <c r="D158" s="10" t="inlineStr">
        <is>
          <t>RSTI-5815</t>
        </is>
      </c>
      <c r="E158" s="10" t="inlineStr">
        <is>
          <t>RSTI-58 (120 mm² (12kV) Al)</t>
        </is>
      </c>
      <c r="F158" s="10" t="inlineStr">
        <is>
          <t>TE Raychem RSTI-58 Screened Separable Connector 800A with DIN Al Compression Lug (120 mm² (12kV))</t>
        </is>
      </c>
      <c r="G158" s="9" t="inlineStr">
        <is>
          <t>Up to 24kV</t>
        </is>
      </c>
      <c r="H158" s="9" t="inlineStr">
        <is>
          <t>800A</t>
        </is>
      </c>
      <c r="I158" s="9" t="inlineStr">
        <is>
          <t>-</t>
        </is>
      </c>
      <c r="J158" s="10" t="inlineStr">
        <is>
          <t>DIN 400 Type C interface</t>
        </is>
      </c>
      <c r="K158" s="9" t="inlineStr">
        <is>
          <t>IP67 Submersible / Touch-Proof</t>
        </is>
      </c>
      <c r="L158" s="10" t="inlineStr">
        <is>
          <t>Continuous current: 800A; Voltage rating: up to 24kV; Core insulation dia: 12.7 - 23.4 mm; Outer conductive EPDM screen; M16 threaded connection to DIN 400 Type C bushings</t>
        </is>
      </c>
      <c r="M158" s="9" t="inlineStr">
        <is>
          <t>USD / Upon Request</t>
        </is>
      </c>
      <c r="N158" s="12" t="inlineStr">
        <is>
          <t>Upon request</t>
        </is>
      </c>
      <c r="O158" s="11" t="n"/>
      <c r="P158" s="12">
        <f>IF(ISNUMBER(N158),N158*(1-O158),N158)</f>
        <v/>
      </c>
      <c r="Q158" s="9" t="inlineStr">
        <is>
          <t>Upon request</t>
        </is>
      </c>
      <c r="R158" s="10" t="inlineStr">
        <is>
          <t>In Stock (Immediate Dispatch)</t>
        </is>
      </c>
      <c r="S158" s="10" t="inlineStr">
        <is>
          <t>Bolted to Bushing M16 Stud</t>
        </is>
      </c>
      <c r="T158" s="10" t="inlineStr">
        <is>
          <t>CENELEC HD 629.1, EN 50180, EN 50181</t>
        </is>
      </c>
      <c r="U158" s="9" t="inlineStr">
        <is>
          <t>Page 31</t>
        </is>
      </c>
    </row>
    <row r="159" ht="20" customHeight="1">
      <c r="A159" s="6" t="inlineStr">
        <is>
          <t>Cable Bushings &amp; Connectors</t>
        </is>
      </c>
      <c r="B159" s="6" t="inlineStr">
        <is>
          <t>Screened Separable Connectors (Single)</t>
        </is>
      </c>
      <c r="C159" s="6" t="inlineStr">
        <is>
          <t>TE Raychem RSTI-58</t>
        </is>
      </c>
      <c r="D159" s="6" t="inlineStr">
        <is>
          <t>RSTI-5835</t>
        </is>
      </c>
      <c r="E159" s="6" t="inlineStr">
        <is>
          <t>RSTI-58 (120 mm² (12kV) Cu)</t>
        </is>
      </c>
      <c r="F159" s="6" t="inlineStr">
        <is>
          <t>TE Raychem RSTI-58 Screened Separable Connector 800A with DIN Cu Compression Lug (120 mm² (12kV))</t>
        </is>
      </c>
      <c r="G159" s="5" t="inlineStr">
        <is>
          <t>Up to 24kV</t>
        </is>
      </c>
      <c r="H159" s="5" t="inlineStr">
        <is>
          <t>800A</t>
        </is>
      </c>
      <c r="I159" s="5" t="inlineStr">
        <is>
          <t>-</t>
        </is>
      </c>
      <c r="J159" s="6" t="inlineStr">
        <is>
          <t>DIN 400 Type C interface</t>
        </is>
      </c>
      <c r="K159" s="5" t="inlineStr">
        <is>
          <t>IP67 Submersible / Touch-Proof</t>
        </is>
      </c>
      <c r="L159" s="6" t="inlineStr">
        <is>
          <t>Continuous current: 800A; Voltage rating: up to 24kV; Core insulation dia: 12.7 - 23.4 mm; Outer conductive EPDM screen; M16 threaded connection to DIN 400 Type C bushings</t>
        </is>
      </c>
      <c r="M159" s="5" t="inlineStr">
        <is>
          <t>USD / Upon Request</t>
        </is>
      </c>
      <c r="N159" s="8" t="inlineStr">
        <is>
          <t>Upon request</t>
        </is>
      </c>
      <c r="O159" s="7" t="n"/>
      <c r="P159" s="8">
        <f>IF(ISNUMBER(N159),N159*(1-O159),N159)</f>
        <v/>
      </c>
      <c r="Q159" s="5" t="inlineStr">
        <is>
          <t>Upon request</t>
        </is>
      </c>
      <c r="R159" s="6" t="inlineStr">
        <is>
          <t>In Stock (Immediate Dispatch)</t>
        </is>
      </c>
      <c r="S159" s="6" t="inlineStr">
        <is>
          <t>Bolted to Bushing M16 Stud</t>
        </is>
      </c>
      <c r="T159" s="6" t="inlineStr">
        <is>
          <t>CENELEC HD 629.1, EN 50180, EN 50181</t>
        </is>
      </c>
      <c r="U159" s="5" t="inlineStr">
        <is>
          <t>Page 31</t>
        </is>
      </c>
    </row>
    <row r="160" ht="20" customHeight="1">
      <c r="A160" s="10" t="inlineStr">
        <is>
          <t>Cable Bushings &amp; Connectors</t>
        </is>
      </c>
      <c r="B160" s="10" t="inlineStr">
        <is>
          <t>Screened Separable Connectors (Single)</t>
        </is>
      </c>
      <c r="C160" s="10" t="inlineStr">
        <is>
          <t>TE Raychem RSTI-58</t>
        </is>
      </c>
      <c r="D160" s="10" t="inlineStr">
        <is>
          <t>RSTI-5825</t>
        </is>
      </c>
      <c r="E160" s="10" t="inlineStr">
        <is>
          <t>RSTI-58 (120 mm² (24kV) Al)</t>
        </is>
      </c>
      <c r="F160" s="10" t="inlineStr">
        <is>
          <t>TE Raychem RSTI-58 Screened Separable Connector 800A with DIN Al Compression Lug (120 mm² (24kV))</t>
        </is>
      </c>
      <c r="G160" s="9" t="inlineStr">
        <is>
          <t>Up to 24kV</t>
        </is>
      </c>
      <c r="H160" s="9" t="inlineStr">
        <is>
          <t>800A</t>
        </is>
      </c>
      <c r="I160" s="9" t="inlineStr">
        <is>
          <t>-</t>
        </is>
      </c>
      <c r="J160" s="10" t="inlineStr">
        <is>
          <t>DIN 400 Type C interface</t>
        </is>
      </c>
      <c r="K160" s="9" t="inlineStr">
        <is>
          <t>IP67 Submersible / Touch-Proof</t>
        </is>
      </c>
      <c r="L160" s="10" t="inlineStr">
        <is>
          <t>Continuous current: 800A; Voltage rating: up to 24kV; Core insulation dia: 21.2 - 34.6 mm; Outer conductive EPDM screen; M16 threaded connection to DIN 400 Type C bushings</t>
        </is>
      </c>
      <c r="M160" s="9" t="inlineStr">
        <is>
          <t>USD / Upon Request</t>
        </is>
      </c>
      <c r="N160" s="12" t="inlineStr">
        <is>
          <t>Upon request</t>
        </is>
      </c>
      <c r="O160" s="11" t="n"/>
      <c r="P160" s="12">
        <f>IF(ISNUMBER(N160),N160*(1-O160),N160)</f>
        <v/>
      </c>
      <c r="Q160" s="9" t="inlineStr">
        <is>
          <t>Upon request</t>
        </is>
      </c>
      <c r="R160" s="10" t="inlineStr">
        <is>
          <t>In Stock (Immediate Dispatch)</t>
        </is>
      </c>
      <c r="S160" s="10" t="inlineStr">
        <is>
          <t>Bolted to Bushing M16 Stud</t>
        </is>
      </c>
      <c r="T160" s="10" t="inlineStr">
        <is>
          <t>CENELEC HD 629.1, EN 50180, EN 50181</t>
        </is>
      </c>
      <c r="U160" s="9" t="inlineStr">
        <is>
          <t>Page 31</t>
        </is>
      </c>
    </row>
    <row r="161" ht="20" customHeight="1">
      <c r="A161" s="6" t="inlineStr">
        <is>
          <t>Cable Bushings &amp; Connectors</t>
        </is>
      </c>
      <c r="B161" s="6" t="inlineStr">
        <is>
          <t>Screened Separable Connectors (Single)</t>
        </is>
      </c>
      <c r="C161" s="6" t="inlineStr">
        <is>
          <t>TE Raychem RSTI-58</t>
        </is>
      </c>
      <c r="D161" s="6" t="inlineStr">
        <is>
          <t>RSTI-5845</t>
        </is>
      </c>
      <c r="E161" s="6" t="inlineStr">
        <is>
          <t>RSTI-58 (120 mm² (24kV) Cu)</t>
        </is>
      </c>
      <c r="F161" s="6" t="inlineStr">
        <is>
          <t>TE Raychem RSTI-58 Screened Separable Connector 800A with DIN Cu Compression Lug (120 mm² (24kV))</t>
        </is>
      </c>
      <c r="G161" s="5" t="inlineStr">
        <is>
          <t>Up to 24kV</t>
        </is>
      </c>
      <c r="H161" s="5" t="inlineStr">
        <is>
          <t>800A</t>
        </is>
      </c>
      <c r="I161" s="5" t="inlineStr">
        <is>
          <t>-</t>
        </is>
      </c>
      <c r="J161" s="6" t="inlineStr">
        <is>
          <t>DIN 400 Type C interface</t>
        </is>
      </c>
      <c r="K161" s="5" t="inlineStr">
        <is>
          <t>IP67 Submersible / Touch-Proof</t>
        </is>
      </c>
      <c r="L161" s="6" t="inlineStr">
        <is>
          <t>Continuous current: 800A; Voltage rating: up to 24kV; Core insulation dia: 21.2 - 34.6 mm; Outer conductive EPDM screen; M16 threaded connection to DIN 400 Type C bushings</t>
        </is>
      </c>
      <c r="M161" s="5" t="inlineStr">
        <is>
          <t>USD / Upon Request</t>
        </is>
      </c>
      <c r="N161" s="8" t="inlineStr">
        <is>
          <t>Upon request</t>
        </is>
      </c>
      <c r="O161" s="7" t="n"/>
      <c r="P161" s="8">
        <f>IF(ISNUMBER(N161),N161*(1-O161),N161)</f>
        <v/>
      </c>
      <c r="Q161" s="5" t="inlineStr">
        <is>
          <t>Upon request</t>
        </is>
      </c>
      <c r="R161" s="6" t="inlineStr">
        <is>
          <t>In Stock (Immediate Dispatch)</t>
        </is>
      </c>
      <c r="S161" s="6" t="inlineStr">
        <is>
          <t>Bolted to Bushing M16 Stud</t>
        </is>
      </c>
      <c r="T161" s="6" t="inlineStr">
        <is>
          <t>CENELEC HD 629.1, EN 50180, EN 50181</t>
        </is>
      </c>
      <c r="U161" s="5" t="inlineStr">
        <is>
          <t>Page 31</t>
        </is>
      </c>
    </row>
    <row r="162" ht="20" customHeight="1">
      <c r="A162" s="10" t="inlineStr">
        <is>
          <t>Cable Bushings &amp; Connectors</t>
        </is>
      </c>
      <c r="B162" s="10" t="inlineStr">
        <is>
          <t>Screened Separable Connectors (Single)</t>
        </is>
      </c>
      <c r="C162" s="10" t="inlineStr">
        <is>
          <t>TE Raychem RSTI-58</t>
        </is>
      </c>
      <c r="D162" s="10" t="inlineStr">
        <is>
          <t>RSTI-5826</t>
        </is>
      </c>
      <c r="E162" s="10" t="inlineStr">
        <is>
          <t>RSTI-58 (150 mm² Al)</t>
        </is>
      </c>
      <c r="F162" s="10" t="inlineStr">
        <is>
          <t>TE Raychem RSTI-58 Screened Separable Connector 800A with DIN Al Compression Lug (150 mm²)</t>
        </is>
      </c>
      <c r="G162" s="9" t="inlineStr">
        <is>
          <t>Up to 24kV</t>
        </is>
      </c>
      <c r="H162" s="9" t="inlineStr">
        <is>
          <t>800A</t>
        </is>
      </c>
      <c r="I162" s="9" t="inlineStr">
        <is>
          <t>-</t>
        </is>
      </c>
      <c r="J162" s="10" t="inlineStr">
        <is>
          <t>DIN 400 Type C interface</t>
        </is>
      </c>
      <c r="K162" s="9" t="inlineStr">
        <is>
          <t>IP67 Submersible / Touch-Proof</t>
        </is>
      </c>
      <c r="L162" s="10" t="inlineStr">
        <is>
          <t>Continuous current: 800A; Voltage rating: up to 24kV; Core insulation dia: 21.2 - 34.6 mm; Outer conductive EPDM screen; M16 threaded connection to DIN 400 Type C bushings</t>
        </is>
      </c>
      <c r="M162" s="9" t="inlineStr">
        <is>
          <t>USD / Upon Request</t>
        </is>
      </c>
      <c r="N162" s="12" t="inlineStr">
        <is>
          <t>Upon request</t>
        </is>
      </c>
      <c r="O162" s="11" t="n"/>
      <c r="P162" s="12">
        <f>IF(ISNUMBER(N162),N162*(1-O162),N162)</f>
        <v/>
      </c>
      <c r="Q162" s="9" t="inlineStr">
        <is>
          <t>Upon request</t>
        </is>
      </c>
      <c r="R162" s="10" t="inlineStr">
        <is>
          <t>In Stock (Immediate Dispatch)</t>
        </is>
      </c>
      <c r="S162" s="10" t="inlineStr">
        <is>
          <t>Bolted to Bushing M16 Stud</t>
        </is>
      </c>
      <c r="T162" s="10" t="inlineStr">
        <is>
          <t>CENELEC HD 629.1, EN 50180, EN 50181</t>
        </is>
      </c>
      <c r="U162" s="9" t="inlineStr">
        <is>
          <t>Page 31</t>
        </is>
      </c>
    </row>
    <row r="163" ht="20" customHeight="1">
      <c r="A163" s="6" t="inlineStr">
        <is>
          <t>Cable Bushings &amp; Connectors</t>
        </is>
      </c>
      <c r="B163" s="6" t="inlineStr">
        <is>
          <t>Screened Separable Connectors (Single)</t>
        </is>
      </c>
      <c r="C163" s="6" t="inlineStr">
        <is>
          <t>TE Raychem RSTI-58</t>
        </is>
      </c>
      <c r="D163" s="6" t="inlineStr">
        <is>
          <t>RSTI-5846</t>
        </is>
      </c>
      <c r="E163" s="6" t="inlineStr">
        <is>
          <t>RSTI-58 (150 mm² Cu)</t>
        </is>
      </c>
      <c r="F163" s="6" t="inlineStr">
        <is>
          <t>TE Raychem RSTI-58 Screened Separable Connector 800A with DIN Cu Compression Lug (150 mm²)</t>
        </is>
      </c>
      <c r="G163" s="5" t="inlineStr">
        <is>
          <t>Up to 24kV</t>
        </is>
      </c>
      <c r="H163" s="5" t="inlineStr">
        <is>
          <t>800A</t>
        </is>
      </c>
      <c r="I163" s="5" t="inlineStr">
        <is>
          <t>-</t>
        </is>
      </c>
      <c r="J163" s="6" t="inlineStr">
        <is>
          <t>DIN 400 Type C interface</t>
        </is>
      </c>
      <c r="K163" s="5" t="inlineStr">
        <is>
          <t>IP67 Submersible / Touch-Proof</t>
        </is>
      </c>
      <c r="L163" s="6" t="inlineStr">
        <is>
          <t>Continuous current: 800A; Voltage rating: up to 24kV; Core insulation dia: 21.2 - 34.6 mm; Outer conductive EPDM screen; M16 threaded connection to DIN 400 Type C bushings</t>
        </is>
      </c>
      <c r="M163" s="5" t="inlineStr">
        <is>
          <t>USD / Upon Request</t>
        </is>
      </c>
      <c r="N163" s="8" t="inlineStr">
        <is>
          <t>Upon request</t>
        </is>
      </c>
      <c r="O163" s="7" t="n"/>
      <c r="P163" s="8">
        <f>IF(ISNUMBER(N163),N163*(1-O163),N163)</f>
        <v/>
      </c>
      <c r="Q163" s="5" t="inlineStr">
        <is>
          <t>Upon request</t>
        </is>
      </c>
      <c r="R163" s="6" t="inlineStr">
        <is>
          <t>In Stock (Immediate Dispatch)</t>
        </is>
      </c>
      <c r="S163" s="6" t="inlineStr">
        <is>
          <t>Bolted to Bushing M16 Stud</t>
        </is>
      </c>
      <c r="T163" s="6" t="inlineStr">
        <is>
          <t>CENELEC HD 629.1, EN 50180, EN 50181</t>
        </is>
      </c>
      <c r="U163" s="5" t="inlineStr">
        <is>
          <t>Page 31</t>
        </is>
      </c>
    </row>
    <row r="164" ht="20" customHeight="1">
      <c r="A164" s="10" t="inlineStr">
        <is>
          <t>Cable Bushings &amp; Connectors</t>
        </is>
      </c>
      <c r="B164" s="10" t="inlineStr">
        <is>
          <t>Screened Separable Connectors (Single)</t>
        </is>
      </c>
      <c r="C164" s="10" t="inlineStr">
        <is>
          <t>TE Raychem RSTI-58</t>
        </is>
      </c>
      <c r="D164" s="10" t="inlineStr">
        <is>
          <t>RSTI-5827</t>
        </is>
      </c>
      <c r="E164" s="10" t="inlineStr">
        <is>
          <t>RSTI-58 (185 mm² Al)</t>
        </is>
      </c>
      <c r="F164" s="10" t="inlineStr">
        <is>
          <t>TE Raychem RSTI-58 Screened Separable Connector 800A with DIN Al Compression Lug (185 mm²)</t>
        </is>
      </c>
      <c r="G164" s="9" t="inlineStr">
        <is>
          <t>Up to 24kV</t>
        </is>
      </c>
      <c r="H164" s="9" t="inlineStr">
        <is>
          <t>800A</t>
        </is>
      </c>
      <c r="I164" s="9" t="inlineStr">
        <is>
          <t>-</t>
        </is>
      </c>
      <c r="J164" s="10" t="inlineStr">
        <is>
          <t>DIN 400 Type C interface</t>
        </is>
      </c>
      <c r="K164" s="9" t="inlineStr">
        <is>
          <t>IP67 Submersible / Touch-Proof</t>
        </is>
      </c>
      <c r="L164" s="10" t="inlineStr">
        <is>
          <t>Continuous current: 800A; Voltage rating: up to 24kV; Core insulation dia: 21.2 - 34.6 mm; Outer conductive EPDM screen; M16 threaded connection to DIN 400 Type C bushings</t>
        </is>
      </c>
      <c r="M164" s="9" t="inlineStr">
        <is>
          <t>USD / Upon Request</t>
        </is>
      </c>
      <c r="N164" s="12" t="inlineStr">
        <is>
          <t>Upon request</t>
        </is>
      </c>
      <c r="O164" s="11" t="n"/>
      <c r="P164" s="12">
        <f>IF(ISNUMBER(N164),N164*(1-O164),N164)</f>
        <v/>
      </c>
      <c r="Q164" s="9" t="inlineStr">
        <is>
          <t>Upon request</t>
        </is>
      </c>
      <c r="R164" s="10" t="inlineStr">
        <is>
          <t>In Stock (Immediate Dispatch)</t>
        </is>
      </c>
      <c r="S164" s="10" t="inlineStr">
        <is>
          <t>Bolted to Bushing M16 Stud</t>
        </is>
      </c>
      <c r="T164" s="10" t="inlineStr">
        <is>
          <t>CENELEC HD 629.1, EN 50180, EN 50181</t>
        </is>
      </c>
      <c r="U164" s="9" t="inlineStr">
        <is>
          <t>Page 31</t>
        </is>
      </c>
    </row>
    <row r="165" ht="20" customHeight="1">
      <c r="A165" s="6" t="inlineStr">
        <is>
          <t>Cable Bushings &amp; Connectors</t>
        </is>
      </c>
      <c r="B165" s="6" t="inlineStr">
        <is>
          <t>Screened Separable Connectors (Single)</t>
        </is>
      </c>
      <c r="C165" s="6" t="inlineStr">
        <is>
          <t>TE Raychem RSTI-58</t>
        </is>
      </c>
      <c r="D165" s="6" t="inlineStr">
        <is>
          <t>RSTI-5847</t>
        </is>
      </c>
      <c r="E165" s="6" t="inlineStr">
        <is>
          <t>RSTI-58 (185 mm² Cu)</t>
        </is>
      </c>
      <c r="F165" s="6" t="inlineStr">
        <is>
          <t>TE Raychem RSTI-58 Screened Separable Connector 800A with DIN Cu Compression Lug (185 mm²)</t>
        </is>
      </c>
      <c r="G165" s="5" t="inlineStr">
        <is>
          <t>Up to 24kV</t>
        </is>
      </c>
      <c r="H165" s="5" t="inlineStr">
        <is>
          <t>800A</t>
        </is>
      </c>
      <c r="I165" s="5" t="inlineStr">
        <is>
          <t>-</t>
        </is>
      </c>
      <c r="J165" s="6" t="inlineStr">
        <is>
          <t>DIN 400 Type C interface</t>
        </is>
      </c>
      <c r="K165" s="5" t="inlineStr">
        <is>
          <t>IP67 Submersible / Touch-Proof</t>
        </is>
      </c>
      <c r="L165" s="6" t="inlineStr">
        <is>
          <t>Continuous current: 800A; Voltage rating: up to 24kV; Core insulation dia: 21.2 - 34.6 mm; Outer conductive EPDM screen; M16 threaded connection to DIN 400 Type C bushings</t>
        </is>
      </c>
      <c r="M165" s="5" t="inlineStr">
        <is>
          <t>USD / Upon Request</t>
        </is>
      </c>
      <c r="N165" s="8" t="inlineStr">
        <is>
          <t>Upon request</t>
        </is>
      </c>
      <c r="O165" s="7" t="n"/>
      <c r="P165" s="8">
        <f>IF(ISNUMBER(N165),N165*(1-O165),N165)</f>
        <v/>
      </c>
      <c r="Q165" s="5" t="inlineStr">
        <is>
          <t>Upon request</t>
        </is>
      </c>
      <c r="R165" s="6" t="inlineStr">
        <is>
          <t>In Stock (Immediate Dispatch)</t>
        </is>
      </c>
      <c r="S165" s="6" t="inlineStr">
        <is>
          <t>Bolted to Bushing M16 Stud</t>
        </is>
      </c>
      <c r="T165" s="6" t="inlineStr">
        <is>
          <t>CENELEC HD 629.1, EN 50180, EN 50181</t>
        </is>
      </c>
      <c r="U165" s="5" t="inlineStr">
        <is>
          <t>Page 31</t>
        </is>
      </c>
    </row>
    <row r="166" ht="20" customHeight="1">
      <c r="A166" s="10" t="inlineStr">
        <is>
          <t>Cable Bushings &amp; Connectors</t>
        </is>
      </c>
      <c r="B166" s="10" t="inlineStr">
        <is>
          <t>Screened Separable Connectors (Single)</t>
        </is>
      </c>
      <c r="C166" s="10" t="inlineStr">
        <is>
          <t>TE Raychem RSTI-58</t>
        </is>
      </c>
      <c r="D166" s="10" t="inlineStr">
        <is>
          <t>RSTI-5828</t>
        </is>
      </c>
      <c r="E166" s="10" t="inlineStr">
        <is>
          <t>RSTI-58 (240 mm² Al)</t>
        </is>
      </c>
      <c r="F166" s="10" t="inlineStr">
        <is>
          <t>TE Raychem RSTI-58 Screened Separable Connector 800A with DIN Al Compression Lug (240 mm²)</t>
        </is>
      </c>
      <c r="G166" s="9" t="inlineStr">
        <is>
          <t>Up to 24kV</t>
        </is>
      </c>
      <c r="H166" s="9" t="inlineStr">
        <is>
          <t>800A</t>
        </is>
      </c>
      <c r="I166" s="9" t="inlineStr">
        <is>
          <t>-</t>
        </is>
      </c>
      <c r="J166" s="10" t="inlineStr">
        <is>
          <t>DIN 400 Type C interface</t>
        </is>
      </c>
      <c r="K166" s="9" t="inlineStr">
        <is>
          <t>IP67 Submersible / Touch-Proof</t>
        </is>
      </c>
      <c r="L166" s="10" t="inlineStr">
        <is>
          <t>Continuous current: 800A; Voltage rating: up to 24kV; Core insulation dia: 21.2 - 34.6 mm; Outer conductive EPDM screen; M16 threaded connection to DIN 400 Type C bushings</t>
        </is>
      </c>
      <c r="M166" s="9" t="inlineStr">
        <is>
          <t>USD / Upon Request</t>
        </is>
      </c>
      <c r="N166" s="12" t="inlineStr">
        <is>
          <t>Upon request</t>
        </is>
      </c>
      <c r="O166" s="11" t="n"/>
      <c r="P166" s="12">
        <f>IF(ISNUMBER(N166),N166*(1-O166),N166)</f>
        <v/>
      </c>
      <c r="Q166" s="9" t="inlineStr">
        <is>
          <t>Upon request</t>
        </is>
      </c>
      <c r="R166" s="10" t="inlineStr">
        <is>
          <t>In Stock (Immediate Dispatch)</t>
        </is>
      </c>
      <c r="S166" s="10" t="inlineStr">
        <is>
          <t>Bolted to Bushing M16 Stud</t>
        </is>
      </c>
      <c r="T166" s="10" t="inlineStr">
        <is>
          <t>CENELEC HD 629.1, EN 50180, EN 50181</t>
        </is>
      </c>
      <c r="U166" s="9" t="inlineStr">
        <is>
          <t>Page 31</t>
        </is>
      </c>
    </row>
    <row r="167" ht="20" customHeight="1">
      <c r="A167" s="6" t="inlineStr">
        <is>
          <t>Cable Bushings &amp; Connectors</t>
        </is>
      </c>
      <c r="B167" s="6" t="inlineStr">
        <is>
          <t>Screened Separable Connectors (Single)</t>
        </is>
      </c>
      <c r="C167" s="6" t="inlineStr">
        <is>
          <t>TE Raychem RSTI-58</t>
        </is>
      </c>
      <c r="D167" s="6" t="inlineStr">
        <is>
          <t>RSTI-5848</t>
        </is>
      </c>
      <c r="E167" s="6" t="inlineStr">
        <is>
          <t>RSTI-58 (240 mm² Cu)</t>
        </is>
      </c>
      <c r="F167" s="6" t="inlineStr">
        <is>
          <t>TE Raychem RSTI-58 Screened Separable Connector 800A with DIN Cu Compression Lug (240 mm²)</t>
        </is>
      </c>
      <c r="G167" s="5" t="inlineStr">
        <is>
          <t>Up to 24kV</t>
        </is>
      </c>
      <c r="H167" s="5" t="inlineStr">
        <is>
          <t>800A</t>
        </is>
      </c>
      <c r="I167" s="5" t="inlineStr">
        <is>
          <t>-</t>
        </is>
      </c>
      <c r="J167" s="6" t="inlineStr">
        <is>
          <t>DIN 400 Type C interface</t>
        </is>
      </c>
      <c r="K167" s="5" t="inlineStr">
        <is>
          <t>IP67 Submersible / Touch-Proof</t>
        </is>
      </c>
      <c r="L167" s="6" t="inlineStr">
        <is>
          <t>Continuous current: 800A; Voltage rating: up to 24kV; Core insulation dia: 21.2 - 34.6 mm; Outer conductive EPDM screen; M16 threaded connection to DIN 400 Type C bushings</t>
        </is>
      </c>
      <c r="M167" s="5" t="inlineStr">
        <is>
          <t>USD / Upon Request</t>
        </is>
      </c>
      <c r="N167" s="8" t="inlineStr">
        <is>
          <t>Upon request</t>
        </is>
      </c>
      <c r="O167" s="7" t="n"/>
      <c r="P167" s="8">
        <f>IF(ISNUMBER(N167),N167*(1-O167),N167)</f>
        <v/>
      </c>
      <c r="Q167" s="5" t="inlineStr">
        <is>
          <t>Upon request</t>
        </is>
      </c>
      <c r="R167" s="6" t="inlineStr">
        <is>
          <t>In Stock (Immediate Dispatch)</t>
        </is>
      </c>
      <c r="S167" s="6" t="inlineStr">
        <is>
          <t>Bolted to Bushing M16 Stud</t>
        </is>
      </c>
      <c r="T167" s="6" t="inlineStr">
        <is>
          <t>CENELEC HD 629.1, EN 50180, EN 50181</t>
        </is>
      </c>
      <c r="U167" s="5" t="inlineStr">
        <is>
          <t>Page 31</t>
        </is>
      </c>
    </row>
    <row r="168" ht="20" customHeight="1">
      <c r="A168" s="10" t="inlineStr">
        <is>
          <t>Cable Bushings &amp; Connectors</t>
        </is>
      </c>
      <c r="B168" s="10" t="inlineStr">
        <is>
          <t>Screened Separable Connectors (Single)</t>
        </is>
      </c>
      <c r="C168" s="10" t="inlineStr">
        <is>
          <t>TE Raychem RSTI-58</t>
        </is>
      </c>
      <c r="D168" s="10" t="inlineStr">
        <is>
          <t>RSTI-5829</t>
        </is>
      </c>
      <c r="E168" s="10" t="inlineStr">
        <is>
          <t>RSTI-58 (300 mm² Al)</t>
        </is>
      </c>
      <c r="F168" s="10" t="inlineStr">
        <is>
          <t>TE Raychem RSTI-58 Screened Separable Connector 800A with DIN Al Compression Lug (300 mm²)</t>
        </is>
      </c>
      <c r="G168" s="9" t="inlineStr">
        <is>
          <t>Up to 24kV</t>
        </is>
      </c>
      <c r="H168" s="9" t="inlineStr">
        <is>
          <t>800A</t>
        </is>
      </c>
      <c r="I168" s="9" t="inlineStr">
        <is>
          <t>-</t>
        </is>
      </c>
      <c r="J168" s="10" t="inlineStr">
        <is>
          <t>DIN 400 Type C interface</t>
        </is>
      </c>
      <c r="K168" s="9" t="inlineStr">
        <is>
          <t>IP67 Submersible / Touch-Proof</t>
        </is>
      </c>
      <c r="L168" s="10" t="inlineStr">
        <is>
          <t>Continuous current: 800A; Voltage rating: up to 24kV; Core insulation dia: 21.2 - 34.6 mm; Outer conductive EPDM screen; M16 threaded connection to DIN 400 Type C bushings</t>
        </is>
      </c>
      <c r="M168" s="9" t="inlineStr">
        <is>
          <t>USD / Upon Request</t>
        </is>
      </c>
      <c r="N168" s="12" t="inlineStr">
        <is>
          <t>Upon request</t>
        </is>
      </c>
      <c r="O168" s="11" t="n"/>
      <c r="P168" s="12">
        <f>IF(ISNUMBER(N168),N168*(1-O168),N168)</f>
        <v/>
      </c>
      <c r="Q168" s="9" t="inlineStr">
        <is>
          <t>Upon request</t>
        </is>
      </c>
      <c r="R168" s="10" t="inlineStr">
        <is>
          <t>In Stock (Immediate Dispatch)</t>
        </is>
      </c>
      <c r="S168" s="10" t="inlineStr">
        <is>
          <t>Bolted to Bushing M16 Stud</t>
        </is>
      </c>
      <c r="T168" s="10" t="inlineStr">
        <is>
          <t>CENELEC HD 629.1, EN 50180, EN 50181</t>
        </is>
      </c>
      <c r="U168" s="9" t="inlineStr">
        <is>
          <t>Page 31</t>
        </is>
      </c>
    </row>
    <row r="169" ht="20" customHeight="1">
      <c r="A169" s="6" t="inlineStr">
        <is>
          <t>Cable Bushings &amp; Connectors</t>
        </is>
      </c>
      <c r="B169" s="6" t="inlineStr">
        <is>
          <t>Screened Separable Connectors (Single)</t>
        </is>
      </c>
      <c r="C169" s="6" t="inlineStr">
        <is>
          <t>TE Raychem RSTI-58</t>
        </is>
      </c>
      <c r="D169" s="6" t="inlineStr">
        <is>
          <t>RSTI-5849</t>
        </is>
      </c>
      <c r="E169" s="6" t="inlineStr">
        <is>
          <t>RSTI-58 (300 mm² Cu)</t>
        </is>
      </c>
      <c r="F169" s="6" t="inlineStr">
        <is>
          <t>TE Raychem RSTI-58 Screened Separable Connector 800A with DIN Cu Compression Lug (300 mm²)</t>
        </is>
      </c>
      <c r="G169" s="5" t="inlineStr">
        <is>
          <t>Up to 24kV</t>
        </is>
      </c>
      <c r="H169" s="5" t="inlineStr">
        <is>
          <t>800A</t>
        </is>
      </c>
      <c r="I169" s="5" t="inlineStr">
        <is>
          <t>-</t>
        </is>
      </c>
      <c r="J169" s="6" t="inlineStr">
        <is>
          <t>DIN 400 Type C interface</t>
        </is>
      </c>
      <c r="K169" s="5" t="inlineStr">
        <is>
          <t>IP67 Submersible / Touch-Proof</t>
        </is>
      </c>
      <c r="L169" s="6" t="inlineStr">
        <is>
          <t>Continuous current: 800A; Voltage rating: up to 24kV; Core insulation dia: 21.2 - 34.6 mm; Outer conductive EPDM screen; M16 threaded connection to DIN 400 Type C bushings</t>
        </is>
      </c>
      <c r="M169" s="5" t="inlineStr">
        <is>
          <t>USD / Upon Request</t>
        </is>
      </c>
      <c r="N169" s="8" t="inlineStr">
        <is>
          <t>Upon request</t>
        </is>
      </c>
      <c r="O169" s="7" t="n"/>
      <c r="P169" s="8">
        <f>IF(ISNUMBER(N169),N169*(1-O169),N169)</f>
        <v/>
      </c>
      <c r="Q169" s="5" t="inlineStr">
        <is>
          <t>Upon request</t>
        </is>
      </c>
      <c r="R169" s="6" t="inlineStr">
        <is>
          <t>In Stock (Immediate Dispatch)</t>
        </is>
      </c>
      <c r="S169" s="6" t="inlineStr">
        <is>
          <t>Bolted to Bushing M16 Stud</t>
        </is>
      </c>
      <c r="T169" s="6" t="inlineStr">
        <is>
          <t>CENELEC HD 629.1, EN 50180, EN 50181</t>
        </is>
      </c>
      <c r="U169" s="5" t="inlineStr">
        <is>
          <t>Page 31</t>
        </is>
      </c>
    </row>
    <row r="170" ht="20" customHeight="1">
      <c r="A170" s="10" t="inlineStr">
        <is>
          <t>Cable Bushings &amp; Connectors</t>
        </is>
      </c>
      <c r="B170" s="10" t="inlineStr">
        <is>
          <t>Screened Separable Connectors (Mechanical Lug)</t>
        </is>
      </c>
      <c r="C170" s="10" t="inlineStr">
        <is>
          <t>TE Raychem RSTI-58</t>
        </is>
      </c>
      <c r="D170" s="10" t="inlineStr">
        <is>
          <t>RSTI-5851</t>
        </is>
      </c>
      <c r="E170" s="10" t="inlineStr">
        <is>
          <t>RSTI-58 Mech (35 - 95 mm² (12kV) / 35 - 70 mm² (24kV))</t>
        </is>
      </c>
      <c r="F170" s="10" t="inlineStr">
        <is>
          <t>TE Raychem RSTI-58 Separable Connector with Mechanical Shear Bolt Lug (35 - 95 mm² (12kV) / 35 - 70 mm² (24kV))</t>
        </is>
      </c>
      <c r="G170" s="9" t="inlineStr">
        <is>
          <t>Up to 24kV</t>
        </is>
      </c>
      <c r="H170" s="9" t="inlineStr">
        <is>
          <t>800A</t>
        </is>
      </c>
      <c r="I170" s="9" t="inlineStr">
        <is>
          <t>-</t>
        </is>
      </c>
      <c r="J170" s="10" t="inlineStr">
        <is>
          <t>DIN 400 Type C interface</t>
        </is>
      </c>
      <c r="K170" s="9" t="inlineStr">
        <is>
          <t>IP67 Submersible / Touch-Proof</t>
        </is>
      </c>
      <c r="L170" s="10" t="inlineStr">
        <is>
          <t>Core insulation diameter: 12.7 - 23.4 mm; Stepless mechanical shear-bolt connector for Al and Cu conductors; No crimping tool needed; 800A continuous rating</t>
        </is>
      </c>
      <c r="M170" s="9" t="inlineStr">
        <is>
          <t>USD / Upon Request</t>
        </is>
      </c>
      <c r="N170" s="12" t="inlineStr">
        <is>
          <t>Upon request</t>
        </is>
      </c>
      <c r="O170" s="11" t="n"/>
      <c r="P170" s="12">
        <f>IF(ISNUMBER(N170),N170*(1-O170),N170)</f>
        <v/>
      </c>
      <c r="Q170" s="9" t="inlineStr">
        <is>
          <t>Upon request</t>
        </is>
      </c>
      <c r="R170" s="10" t="inlineStr">
        <is>
          <t>In Stock (Immediate Dispatch)</t>
        </is>
      </c>
      <c r="S170" s="10" t="inlineStr">
        <is>
          <t>Bolted to Bushing M16 Stud</t>
        </is>
      </c>
      <c r="T170" s="10" t="inlineStr">
        <is>
          <t>CENELEC HD 629.1, EN 50180, EN 50181</t>
        </is>
      </c>
      <c r="U170" s="9" t="inlineStr">
        <is>
          <t>Page 31</t>
        </is>
      </c>
    </row>
    <row r="171" ht="20" customHeight="1">
      <c r="A171" s="6" t="inlineStr">
        <is>
          <t>Cable Bushings &amp; Connectors</t>
        </is>
      </c>
      <c r="B171" s="6" t="inlineStr">
        <is>
          <t>Screened Separable Connectors (Mechanical Lug)</t>
        </is>
      </c>
      <c r="C171" s="6" t="inlineStr">
        <is>
          <t>TE Raychem RSTI-58</t>
        </is>
      </c>
      <c r="D171" s="6" t="inlineStr">
        <is>
          <t>RSTI-5852</t>
        </is>
      </c>
      <c r="E171" s="6" t="inlineStr">
        <is>
          <t>RSTI-58 Mech (95 - 120 mm² (12kV))</t>
        </is>
      </c>
      <c r="F171" s="6" t="inlineStr">
        <is>
          <t>TE Raychem RSTI-58 Separable Connector with Mechanical Shear Bolt Lug (95 - 120 mm² (12kV))</t>
        </is>
      </c>
      <c r="G171" s="5" t="inlineStr">
        <is>
          <t>Up to 24kV</t>
        </is>
      </c>
      <c r="H171" s="5" t="inlineStr">
        <is>
          <t>800A</t>
        </is>
      </c>
      <c r="I171" s="5" t="inlineStr">
        <is>
          <t>-</t>
        </is>
      </c>
      <c r="J171" s="6" t="inlineStr">
        <is>
          <t>DIN 400 Type C interface</t>
        </is>
      </c>
      <c r="K171" s="5" t="inlineStr">
        <is>
          <t>IP67 Submersible / Touch-Proof</t>
        </is>
      </c>
      <c r="L171" s="6" t="inlineStr">
        <is>
          <t>Core insulation diameter: 12.7 - 23.4 mm; Stepless mechanical shear-bolt connector for Al and Cu conductors; No crimping tool needed; 800A continuous rating</t>
        </is>
      </c>
      <c r="M171" s="5" t="inlineStr">
        <is>
          <t>USD / Upon Request</t>
        </is>
      </c>
      <c r="N171" s="8" t="inlineStr">
        <is>
          <t>Upon request</t>
        </is>
      </c>
      <c r="O171" s="7" t="n"/>
      <c r="P171" s="8">
        <f>IF(ISNUMBER(N171),N171*(1-O171),N171)</f>
        <v/>
      </c>
      <c r="Q171" s="5" t="inlineStr">
        <is>
          <t>Upon request</t>
        </is>
      </c>
      <c r="R171" s="6" t="inlineStr">
        <is>
          <t>In Stock (Immediate Dispatch)</t>
        </is>
      </c>
      <c r="S171" s="6" t="inlineStr">
        <is>
          <t>Bolted to Bushing M16 Stud</t>
        </is>
      </c>
      <c r="T171" s="6" t="inlineStr">
        <is>
          <t>CENELEC HD 629.1, EN 50180, EN 50181</t>
        </is>
      </c>
      <c r="U171" s="5" t="inlineStr">
        <is>
          <t>Page 31</t>
        </is>
      </c>
    </row>
    <row r="172" ht="20" customHeight="1">
      <c r="A172" s="10" t="inlineStr">
        <is>
          <t>Cable Bushings &amp; Connectors</t>
        </is>
      </c>
      <c r="B172" s="10" t="inlineStr">
        <is>
          <t>Screened Separable Connectors (Mechanical Lug)</t>
        </is>
      </c>
      <c r="C172" s="10" t="inlineStr">
        <is>
          <t>TE Raychem RSTI-58</t>
        </is>
      </c>
      <c r="D172" s="10" t="inlineStr">
        <is>
          <t>RSTI-5853</t>
        </is>
      </c>
      <c r="E172" s="10" t="inlineStr">
        <is>
          <t>RSTI-58 Mech (95 - 240 mm² (12kV) / 95 - 185 mm² (24kV))</t>
        </is>
      </c>
      <c r="F172" s="10" t="inlineStr">
        <is>
          <t>TE Raychem RSTI-58 Separable Connector with Mechanical Shear Bolt Lug (95 - 240 mm² (12kV) / 95 - 185 mm² (24kV))</t>
        </is>
      </c>
      <c r="G172" s="9" t="inlineStr">
        <is>
          <t>Up to 24kV</t>
        </is>
      </c>
      <c r="H172" s="9" t="inlineStr">
        <is>
          <t>800A</t>
        </is>
      </c>
      <c r="I172" s="9" t="inlineStr">
        <is>
          <t>-</t>
        </is>
      </c>
      <c r="J172" s="10" t="inlineStr">
        <is>
          <t>DIN 400 Type C interface</t>
        </is>
      </c>
      <c r="K172" s="9" t="inlineStr">
        <is>
          <t>IP67 Submersible / Touch-Proof</t>
        </is>
      </c>
      <c r="L172" s="10" t="inlineStr">
        <is>
          <t>Core insulation diameter: 17.0 - 30.1 mm; Stepless mechanical shear-bolt connector for Al and Cu conductors; No crimping tool needed; 800A continuous rating</t>
        </is>
      </c>
      <c r="M172" s="9" t="inlineStr">
        <is>
          <t>USD / Upon Request</t>
        </is>
      </c>
      <c r="N172" s="12" t="inlineStr">
        <is>
          <t>Upon request</t>
        </is>
      </c>
      <c r="O172" s="11" t="n"/>
      <c r="P172" s="12">
        <f>IF(ISNUMBER(N172),N172*(1-O172),N172)</f>
        <v/>
      </c>
      <c r="Q172" s="9" t="inlineStr">
        <is>
          <t>Upon request</t>
        </is>
      </c>
      <c r="R172" s="10" t="inlineStr">
        <is>
          <t>In Stock (Immediate Dispatch)</t>
        </is>
      </c>
      <c r="S172" s="10" t="inlineStr">
        <is>
          <t>Bolted to Bushing M16 Stud</t>
        </is>
      </c>
      <c r="T172" s="10" t="inlineStr">
        <is>
          <t>CENELEC HD 629.1, EN 50180, EN 50181</t>
        </is>
      </c>
      <c r="U172" s="9" t="inlineStr">
        <is>
          <t>Page 31</t>
        </is>
      </c>
    </row>
    <row r="173" ht="20" customHeight="1">
      <c r="A173" s="6" t="inlineStr">
        <is>
          <t>Cable Bushings &amp; Connectors</t>
        </is>
      </c>
      <c r="B173" s="6" t="inlineStr">
        <is>
          <t>Screened Separable Connectors (Mechanical Lug)</t>
        </is>
      </c>
      <c r="C173" s="6" t="inlineStr">
        <is>
          <t>TE Raychem RSTI-58</t>
        </is>
      </c>
      <c r="D173" s="6" t="inlineStr">
        <is>
          <t>RSTI-5854</t>
        </is>
      </c>
      <c r="E173" s="6" t="inlineStr">
        <is>
          <t>RSTI-58 Mech (150 - 240 mm² (12kV) / 95 - 240 mm² (24kV))</t>
        </is>
      </c>
      <c r="F173" s="6" t="inlineStr">
        <is>
          <t>TE Raychem RSTI-58 Separable Connector with Mechanical Shear Bolt Lug (150 - 240 mm² (12kV) / 95 - 240 mm² (24kV))</t>
        </is>
      </c>
      <c r="G173" s="5" t="inlineStr">
        <is>
          <t>Up to 24kV</t>
        </is>
      </c>
      <c r="H173" s="5" t="inlineStr">
        <is>
          <t>800A</t>
        </is>
      </c>
      <c r="I173" s="5" t="inlineStr">
        <is>
          <t>-</t>
        </is>
      </c>
      <c r="J173" s="6" t="inlineStr">
        <is>
          <t>DIN 400 Type C interface</t>
        </is>
      </c>
      <c r="K173" s="5" t="inlineStr">
        <is>
          <t>IP67 Submersible / Touch-Proof</t>
        </is>
      </c>
      <c r="L173" s="6" t="inlineStr">
        <is>
          <t>Core insulation diameter: 21.2 - 34.6 mm; Stepless mechanical shear-bolt connector for Al and Cu conductors; No crimping tool needed; 800A continuous rating</t>
        </is>
      </c>
      <c r="M173" s="5" t="inlineStr">
        <is>
          <t>USD / Upon Request</t>
        </is>
      </c>
      <c r="N173" s="8" t="inlineStr">
        <is>
          <t>Upon request</t>
        </is>
      </c>
      <c r="O173" s="7" t="n"/>
      <c r="P173" s="8">
        <f>IF(ISNUMBER(N173),N173*(1-O173),N173)</f>
        <v/>
      </c>
      <c r="Q173" s="5" t="inlineStr">
        <is>
          <t>Upon request</t>
        </is>
      </c>
      <c r="R173" s="6" t="inlineStr">
        <is>
          <t>In Stock (Immediate Dispatch)</t>
        </is>
      </c>
      <c r="S173" s="6" t="inlineStr">
        <is>
          <t>Bolted to Bushing M16 Stud</t>
        </is>
      </c>
      <c r="T173" s="6" t="inlineStr">
        <is>
          <t>CENELEC HD 629.1, EN 50180, EN 50181</t>
        </is>
      </c>
      <c r="U173" s="5" t="inlineStr">
        <is>
          <t>Page 31</t>
        </is>
      </c>
    </row>
    <row r="174" ht="20" customHeight="1">
      <c r="A174" s="10" t="inlineStr">
        <is>
          <t>Cable Bushings &amp; Connectors</t>
        </is>
      </c>
      <c r="B174" s="10" t="inlineStr">
        <is>
          <t>Screened Separable Connectors (Mechanical Lug)</t>
        </is>
      </c>
      <c r="C174" s="10" t="inlineStr">
        <is>
          <t>TE Raychem RSTI-58</t>
        </is>
      </c>
      <c r="D174" s="10" t="inlineStr">
        <is>
          <t>RSTI-5855</t>
        </is>
      </c>
      <c r="E174" s="10" t="inlineStr">
        <is>
          <t>RSTI-58 Mech (185 - 300 mm² (12kV &amp; 24kV))</t>
        </is>
      </c>
      <c r="F174" s="10" t="inlineStr">
        <is>
          <t>TE Raychem RSTI-58 Separable Connector with Mechanical Shear Bolt Lug (185 - 300 mm² (12kV &amp; 24kV))</t>
        </is>
      </c>
      <c r="G174" s="9" t="inlineStr">
        <is>
          <t>Up to 24kV</t>
        </is>
      </c>
      <c r="H174" s="9" t="inlineStr">
        <is>
          <t>800A</t>
        </is>
      </c>
      <c r="I174" s="9" t="inlineStr">
        <is>
          <t>-</t>
        </is>
      </c>
      <c r="J174" s="10" t="inlineStr">
        <is>
          <t>DIN 400 Type C interface</t>
        </is>
      </c>
      <c r="K174" s="9" t="inlineStr">
        <is>
          <t>IP67 Submersible / Touch-Proof</t>
        </is>
      </c>
      <c r="L174" s="10" t="inlineStr">
        <is>
          <t>Core insulation diameter: 21.2 - 34.6 mm; Stepless mechanical shear-bolt connector for Al and Cu conductors; No crimping tool needed; 800A continuous rating</t>
        </is>
      </c>
      <c r="M174" s="9" t="inlineStr">
        <is>
          <t>USD / Upon Request</t>
        </is>
      </c>
      <c r="N174" s="12" t="inlineStr">
        <is>
          <t>Upon request</t>
        </is>
      </c>
      <c r="O174" s="11" t="n"/>
      <c r="P174" s="12">
        <f>IF(ISNUMBER(N174),N174*(1-O174),N174)</f>
        <v/>
      </c>
      <c r="Q174" s="9" t="inlineStr">
        <is>
          <t>Upon request</t>
        </is>
      </c>
      <c r="R174" s="10" t="inlineStr">
        <is>
          <t>In Stock (Immediate Dispatch)</t>
        </is>
      </c>
      <c r="S174" s="10" t="inlineStr">
        <is>
          <t>Bolted to Bushing M16 Stud</t>
        </is>
      </c>
      <c r="T174" s="10" t="inlineStr">
        <is>
          <t>CENELEC HD 629.1, EN 50180, EN 50181</t>
        </is>
      </c>
      <c r="U174" s="9" t="inlineStr">
        <is>
          <t>Page 31</t>
        </is>
      </c>
    </row>
    <row r="175" ht="20" customHeight="1">
      <c r="A175" s="6" t="inlineStr">
        <is>
          <t>Cable Bushings &amp; Connectors</t>
        </is>
      </c>
      <c r="B175" s="6" t="inlineStr">
        <is>
          <t>Screened Separable Connectors (Mechanical Lug)</t>
        </is>
      </c>
      <c r="C175" s="6" t="inlineStr">
        <is>
          <t>TE Raychem RSTI-58</t>
        </is>
      </c>
      <c r="D175" s="6" t="inlineStr">
        <is>
          <t>RSTI-5856</t>
        </is>
      </c>
      <c r="E175" s="6" t="inlineStr">
        <is>
          <t>RSTI-58 Mech (240 - 400 mm² (12kV))</t>
        </is>
      </c>
      <c r="F175" s="6" t="inlineStr">
        <is>
          <t>TE Raychem RSTI-58 Separable Connector with Mechanical Shear Bolt Lug (240 - 400 mm² (12kV))</t>
        </is>
      </c>
      <c r="G175" s="5" t="inlineStr">
        <is>
          <t>Up to 24kV</t>
        </is>
      </c>
      <c r="H175" s="5" t="inlineStr">
        <is>
          <t>800A</t>
        </is>
      </c>
      <c r="I175" s="5" t="inlineStr">
        <is>
          <t>-</t>
        </is>
      </c>
      <c r="J175" s="6" t="inlineStr">
        <is>
          <t>DIN 400 Type C interface</t>
        </is>
      </c>
      <c r="K175" s="5" t="inlineStr">
        <is>
          <t>IP67 Submersible / Touch-Proof</t>
        </is>
      </c>
      <c r="L175" s="6" t="inlineStr">
        <is>
          <t>Core insulation diameter: 21.2 - 34.6 mm; Stepless mechanical shear-bolt connector for Al and Cu conductors; No crimping tool needed; 800A continuous rating</t>
        </is>
      </c>
      <c r="M175" s="5" t="inlineStr">
        <is>
          <t>USD / Upon Request</t>
        </is>
      </c>
      <c r="N175" s="8" t="inlineStr">
        <is>
          <t>Upon request</t>
        </is>
      </c>
      <c r="O175" s="7" t="n"/>
      <c r="P175" s="8">
        <f>IF(ISNUMBER(N175),N175*(1-O175),N175)</f>
        <v/>
      </c>
      <c r="Q175" s="5" t="inlineStr">
        <is>
          <t>Upon request</t>
        </is>
      </c>
      <c r="R175" s="6" t="inlineStr">
        <is>
          <t>In Stock (Immediate Dispatch)</t>
        </is>
      </c>
      <c r="S175" s="6" t="inlineStr">
        <is>
          <t>Bolted to Bushing M16 Stud</t>
        </is>
      </c>
      <c r="T175" s="6" t="inlineStr">
        <is>
          <t>CENELEC HD 629.1, EN 50180, EN 50181</t>
        </is>
      </c>
      <c r="U175" s="5" t="inlineStr">
        <is>
          <t>Page 31</t>
        </is>
      </c>
    </row>
    <row r="176" ht="20" customHeight="1">
      <c r="A176" s="10" t="inlineStr">
        <is>
          <t>Cable Bushings &amp; Connectors</t>
        </is>
      </c>
      <c r="B176" s="10" t="inlineStr">
        <is>
          <t>Screened Coupling Connectors (Double Cable)</t>
        </is>
      </c>
      <c r="C176" s="10" t="inlineStr">
        <is>
          <t>TE Raychem RSTI-CC</t>
        </is>
      </c>
      <c r="D176" s="10" t="inlineStr">
        <is>
          <t>RSTI-CC-5810</t>
        </is>
      </c>
      <c r="E176" s="10" t="inlineStr">
        <is>
          <t>RSTI-CC-58 (25 mm² Al)</t>
        </is>
      </c>
      <c r="F176" s="10" t="inlineStr">
        <is>
          <t>TE Raychem RSTI-CC-58 Screened Coupling Connector 800A with DIN Al Compression Lug (25 mm²)</t>
        </is>
      </c>
      <c r="G176" s="9" t="inlineStr">
        <is>
          <t>Up to 24kV</t>
        </is>
      </c>
      <c r="H176" s="9" t="inlineStr">
        <is>
          <t>800A</t>
        </is>
      </c>
      <c r="I176" s="9" t="inlineStr">
        <is>
          <t>-</t>
        </is>
      </c>
      <c r="J176" s="10" t="inlineStr">
        <is>
          <t>Couples to rear of RSTI-58</t>
        </is>
      </c>
      <c r="K176" s="9" t="inlineStr">
        <is>
          <t>IP67 Submersible / Touch-Proof</t>
        </is>
      </c>
      <c r="L176" s="10" t="inlineStr">
        <is>
          <t>Connects onto rear of RSTI-58 base connector for parallel / double cable termination; Core insulation dia: 12.7 - 23.4 mm; EPDM conductive screen; 800A continuous rating</t>
        </is>
      </c>
      <c r="M176" s="9" t="inlineStr">
        <is>
          <t>USD / Upon Request</t>
        </is>
      </c>
      <c r="N176" s="12" t="inlineStr">
        <is>
          <t>Upon request</t>
        </is>
      </c>
      <c r="O176" s="11" t="n"/>
      <c r="P176" s="12">
        <f>IF(ISNUMBER(N176),N176*(1-O176),N176)</f>
        <v/>
      </c>
      <c r="Q176" s="9" t="inlineStr">
        <is>
          <t>Upon request</t>
        </is>
      </c>
      <c r="R176" s="10" t="inlineStr">
        <is>
          <t>In Stock (Immediate Dispatch)</t>
        </is>
      </c>
      <c r="S176" s="10" t="inlineStr">
        <is>
          <t>Coupled to Primary Separable Connector</t>
        </is>
      </c>
      <c r="T176" s="10" t="inlineStr">
        <is>
          <t>CENELEC HD 629.1, EN 50180, EN 50181</t>
        </is>
      </c>
      <c r="U176" s="9" t="inlineStr">
        <is>
          <t>Page 32</t>
        </is>
      </c>
    </row>
    <row r="177" ht="20" customHeight="1">
      <c r="A177" s="6" t="inlineStr">
        <is>
          <t>Cable Bushings &amp; Connectors</t>
        </is>
      </c>
      <c r="B177" s="6" t="inlineStr">
        <is>
          <t>Screened Coupling Connectors (Double Cable)</t>
        </is>
      </c>
      <c r="C177" s="6" t="inlineStr">
        <is>
          <t>TE Raychem RSTI-CC</t>
        </is>
      </c>
      <c r="D177" s="6" t="inlineStr">
        <is>
          <t>RSTI-CC-5830</t>
        </is>
      </c>
      <c r="E177" s="6" t="inlineStr">
        <is>
          <t>RSTI-CC-58 (25 mm² Cu)</t>
        </is>
      </c>
      <c r="F177" s="6" t="inlineStr">
        <is>
          <t>TE Raychem RSTI-CC-58 Screened Coupling Connector 800A with DIN Cu Compression Lug (25 mm²)</t>
        </is>
      </c>
      <c r="G177" s="5" t="inlineStr">
        <is>
          <t>Up to 24kV</t>
        </is>
      </c>
      <c r="H177" s="5" t="inlineStr">
        <is>
          <t>800A</t>
        </is>
      </c>
      <c r="I177" s="5" t="inlineStr">
        <is>
          <t>-</t>
        </is>
      </c>
      <c r="J177" s="6" t="inlineStr">
        <is>
          <t>Couples to rear of RSTI-58</t>
        </is>
      </c>
      <c r="K177" s="5" t="inlineStr">
        <is>
          <t>IP67 Submersible / Touch-Proof</t>
        </is>
      </c>
      <c r="L177" s="6" t="inlineStr">
        <is>
          <t>Connects onto rear of RSTI-58 base connector for parallel / double cable termination; Core insulation dia: 12.7 - 23.4 mm; EPDM conductive screen; 800A continuous rating</t>
        </is>
      </c>
      <c r="M177" s="5" t="inlineStr">
        <is>
          <t>USD / Upon Request</t>
        </is>
      </c>
      <c r="N177" s="8" t="inlineStr">
        <is>
          <t>Upon request</t>
        </is>
      </c>
      <c r="O177" s="7" t="n"/>
      <c r="P177" s="8">
        <f>IF(ISNUMBER(N177),N177*(1-O177),N177)</f>
        <v/>
      </c>
      <c r="Q177" s="5" t="inlineStr">
        <is>
          <t>Upon request</t>
        </is>
      </c>
      <c r="R177" s="6" t="inlineStr">
        <is>
          <t>In Stock (Immediate Dispatch)</t>
        </is>
      </c>
      <c r="S177" s="6" t="inlineStr">
        <is>
          <t>Coupled to Primary Separable Connector</t>
        </is>
      </c>
      <c r="T177" s="6" t="inlineStr">
        <is>
          <t>CENELEC HD 629.1, EN 50180, EN 50181</t>
        </is>
      </c>
      <c r="U177" s="5" t="inlineStr">
        <is>
          <t>Page 32</t>
        </is>
      </c>
    </row>
    <row r="178" ht="20" customHeight="1">
      <c r="A178" s="10" t="inlineStr">
        <is>
          <t>Cable Bushings &amp; Connectors</t>
        </is>
      </c>
      <c r="B178" s="10" t="inlineStr">
        <is>
          <t>Screened Coupling Connectors (Double Cable)</t>
        </is>
      </c>
      <c r="C178" s="10" t="inlineStr">
        <is>
          <t>TE Raychem RSTI-CC</t>
        </is>
      </c>
      <c r="D178" s="10" t="inlineStr">
        <is>
          <t>RSTI-CC-5811</t>
        </is>
      </c>
      <c r="E178" s="10" t="inlineStr">
        <is>
          <t>RSTI-CC-58 (35 mm² Al)</t>
        </is>
      </c>
      <c r="F178" s="10" t="inlineStr">
        <is>
          <t>TE Raychem RSTI-CC-58 Screened Coupling Connector 800A with DIN Al Compression Lug (35 mm²)</t>
        </is>
      </c>
      <c r="G178" s="9" t="inlineStr">
        <is>
          <t>Up to 24kV</t>
        </is>
      </c>
      <c r="H178" s="9" t="inlineStr">
        <is>
          <t>800A</t>
        </is>
      </c>
      <c r="I178" s="9" t="inlineStr">
        <is>
          <t>-</t>
        </is>
      </c>
      <c r="J178" s="10" t="inlineStr">
        <is>
          <t>Couples to rear of RSTI-58</t>
        </is>
      </c>
      <c r="K178" s="9" t="inlineStr">
        <is>
          <t>IP67 Submersible / Touch-Proof</t>
        </is>
      </c>
      <c r="L178" s="10" t="inlineStr">
        <is>
          <t>Connects onto rear of RSTI-58 base connector for parallel / double cable termination; Core insulation dia: 12.7 - 23.4 mm; EPDM conductive screen; 800A continuous rating</t>
        </is>
      </c>
      <c r="M178" s="9" t="inlineStr">
        <is>
          <t>USD / Upon Request</t>
        </is>
      </c>
      <c r="N178" s="12" t="inlineStr">
        <is>
          <t>Upon request</t>
        </is>
      </c>
      <c r="O178" s="11" t="n"/>
      <c r="P178" s="12">
        <f>IF(ISNUMBER(N178),N178*(1-O178),N178)</f>
        <v/>
      </c>
      <c r="Q178" s="9" t="inlineStr">
        <is>
          <t>Upon request</t>
        </is>
      </c>
      <c r="R178" s="10" t="inlineStr">
        <is>
          <t>In Stock (Immediate Dispatch)</t>
        </is>
      </c>
      <c r="S178" s="10" t="inlineStr">
        <is>
          <t>Coupled to Primary Separable Connector</t>
        </is>
      </c>
      <c r="T178" s="10" t="inlineStr">
        <is>
          <t>CENELEC HD 629.1, EN 50180, EN 50181</t>
        </is>
      </c>
      <c r="U178" s="9" t="inlineStr">
        <is>
          <t>Page 32</t>
        </is>
      </c>
    </row>
    <row r="179" ht="20" customHeight="1">
      <c r="A179" s="6" t="inlineStr">
        <is>
          <t>Cable Bushings &amp; Connectors</t>
        </is>
      </c>
      <c r="B179" s="6" t="inlineStr">
        <is>
          <t>Screened Coupling Connectors (Double Cable)</t>
        </is>
      </c>
      <c r="C179" s="6" t="inlineStr">
        <is>
          <t>TE Raychem RSTI-CC</t>
        </is>
      </c>
      <c r="D179" s="6" t="inlineStr">
        <is>
          <t>RSTI-CC-5831</t>
        </is>
      </c>
      <c r="E179" s="6" t="inlineStr">
        <is>
          <t>RSTI-CC-58 (35 mm² Cu)</t>
        </is>
      </c>
      <c r="F179" s="6" t="inlineStr">
        <is>
          <t>TE Raychem RSTI-CC-58 Screened Coupling Connector 800A with DIN Cu Compression Lug (35 mm²)</t>
        </is>
      </c>
      <c r="G179" s="5" t="inlineStr">
        <is>
          <t>Up to 24kV</t>
        </is>
      </c>
      <c r="H179" s="5" t="inlineStr">
        <is>
          <t>800A</t>
        </is>
      </c>
      <c r="I179" s="5" t="inlineStr">
        <is>
          <t>-</t>
        </is>
      </c>
      <c r="J179" s="6" t="inlineStr">
        <is>
          <t>Couples to rear of RSTI-58</t>
        </is>
      </c>
      <c r="K179" s="5" t="inlineStr">
        <is>
          <t>IP67 Submersible / Touch-Proof</t>
        </is>
      </c>
      <c r="L179" s="6" t="inlineStr">
        <is>
          <t>Connects onto rear of RSTI-58 base connector for parallel / double cable termination; Core insulation dia: 12.7 - 23.4 mm; EPDM conductive screen; 800A continuous rating</t>
        </is>
      </c>
      <c r="M179" s="5" t="inlineStr">
        <is>
          <t>USD / Upon Request</t>
        </is>
      </c>
      <c r="N179" s="8" t="inlineStr">
        <is>
          <t>Upon request</t>
        </is>
      </c>
      <c r="O179" s="7" t="n"/>
      <c r="P179" s="8">
        <f>IF(ISNUMBER(N179),N179*(1-O179),N179)</f>
        <v/>
      </c>
      <c r="Q179" s="5" t="inlineStr">
        <is>
          <t>Upon request</t>
        </is>
      </c>
      <c r="R179" s="6" t="inlineStr">
        <is>
          <t>In Stock (Immediate Dispatch)</t>
        </is>
      </c>
      <c r="S179" s="6" t="inlineStr">
        <is>
          <t>Coupled to Primary Separable Connector</t>
        </is>
      </c>
      <c r="T179" s="6" t="inlineStr">
        <is>
          <t>CENELEC HD 629.1, EN 50180, EN 50181</t>
        </is>
      </c>
      <c r="U179" s="5" t="inlineStr">
        <is>
          <t>Page 32</t>
        </is>
      </c>
    </row>
    <row r="180" ht="20" customHeight="1">
      <c r="A180" s="10" t="inlineStr">
        <is>
          <t>Cable Bushings &amp; Connectors</t>
        </is>
      </c>
      <c r="B180" s="10" t="inlineStr">
        <is>
          <t>Screened Coupling Connectors (Double Cable)</t>
        </is>
      </c>
      <c r="C180" s="10" t="inlineStr">
        <is>
          <t>TE Raychem RSTI-CC</t>
        </is>
      </c>
      <c r="D180" s="10" t="inlineStr">
        <is>
          <t>RSTI-CC-5812</t>
        </is>
      </c>
      <c r="E180" s="10" t="inlineStr">
        <is>
          <t>RSTI-CC-58 (50 mm² Al)</t>
        </is>
      </c>
      <c r="F180" s="10" t="inlineStr">
        <is>
          <t>TE Raychem RSTI-CC-58 Screened Coupling Connector 800A with DIN Al Compression Lug (50 mm²)</t>
        </is>
      </c>
      <c r="G180" s="9" t="inlineStr">
        <is>
          <t>Up to 24kV</t>
        </is>
      </c>
      <c r="H180" s="9" t="inlineStr">
        <is>
          <t>800A</t>
        </is>
      </c>
      <c r="I180" s="9" t="inlineStr">
        <is>
          <t>-</t>
        </is>
      </c>
      <c r="J180" s="10" t="inlineStr">
        <is>
          <t>Couples to rear of RSTI-58</t>
        </is>
      </c>
      <c r="K180" s="9" t="inlineStr">
        <is>
          <t>IP67 Submersible / Touch-Proof</t>
        </is>
      </c>
      <c r="L180" s="10" t="inlineStr">
        <is>
          <t>Connects onto rear of RSTI-58 base connector for parallel / double cable termination; Core insulation dia: 12.7 - 23.4 mm; EPDM conductive screen; 800A continuous rating</t>
        </is>
      </c>
      <c r="M180" s="9" t="inlineStr">
        <is>
          <t>USD / Upon Request</t>
        </is>
      </c>
      <c r="N180" s="12" t="inlineStr">
        <is>
          <t>Upon request</t>
        </is>
      </c>
      <c r="O180" s="11" t="n"/>
      <c r="P180" s="12">
        <f>IF(ISNUMBER(N180),N180*(1-O180),N180)</f>
        <v/>
      </c>
      <c r="Q180" s="9" t="inlineStr">
        <is>
          <t>Upon request</t>
        </is>
      </c>
      <c r="R180" s="10" t="inlineStr">
        <is>
          <t>In Stock (Immediate Dispatch)</t>
        </is>
      </c>
      <c r="S180" s="10" t="inlineStr">
        <is>
          <t>Coupled to Primary Separable Connector</t>
        </is>
      </c>
      <c r="T180" s="10" t="inlineStr">
        <is>
          <t>CENELEC HD 629.1, EN 50180, EN 50181</t>
        </is>
      </c>
      <c r="U180" s="9" t="inlineStr">
        <is>
          <t>Page 32</t>
        </is>
      </c>
    </row>
    <row r="181" ht="20" customHeight="1">
      <c r="A181" s="6" t="inlineStr">
        <is>
          <t>Cable Bushings &amp; Connectors</t>
        </is>
      </c>
      <c r="B181" s="6" t="inlineStr">
        <is>
          <t>Screened Coupling Connectors (Double Cable)</t>
        </is>
      </c>
      <c r="C181" s="6" t="inlineStr">
        <is>
          <t>TE Raychem RSTI-CC</t>
        </is>
      </c>
      <c r="D181" s="6" t="inlineStr">
        <is>
          <t>RSTI-CC-5832</t>
        </is>
      </c>
      <c r="E181" s="6" t="inlineStr">
        <is>
          <t>RSTI-CC-58 (50 mm² Cu)</t>
        </is>
      </c>
      <c r="F181" s="6" t="inlineStr">
        <is>
          <t>TE Raychem RSTI-CC-58 Screened Coupling Connector 800A with DIN Cu Compression Lug (50 mm²)</t>
        </is>
      </c>
      <c r="G181" s="5" t="inlineStr">
        <is>
          <t>Up to 24kV</t>
        </is>
      </c>
      <c r="H181" s="5" t="inlineStr">
        <is>
          <t>800A</t>
        </is>
      </c>
      <c r="I181" s="5" t="inlineStr">
        <is>
          <t>-</t>
        </is>
      </c>
      <c r="J181" s="6" t="inlineStr">
        <is>
          <t>Couples to rear of RSTI-58</t>
        </is>
      </c>
      <c r="K181" s="5" t="inlineStr">
        <is>
          <t>IP67 Submersible / Touch-Proof</t>
        </is>
      </c>
      <c r="L181" s="6" t="inlineStr">
        <is>
          <t>Connects onto rear of RSTI-58 base connector for parallel / double cable termination; Core insulation dia: 12.7 - 23.4 mm; EPDM conductive screen; 800A continuous rating</t>
        </is>
      </c>
      <c r="M181" s="5" t="inlineStr">
        <is>
          <t>USD / Upon Request</t>
        </is>
      </c>
      <c r="N181" s="8" t="inlineStr">
        <is>
          <t>Upon request</t>
        </is>
      </c>
      <c r="O181" s="7" t="n"/>
      <c r="P181" s="8">
        <f>IF(ISNUMBER(N181),N181*(1-O181),N181)</f>
        <v/>
      </c>
      <c r="Q181" s="5" t="inlineStr">
        <is>
          <t>Upon request</t>
        </is>
      </c>
      <c r="R181" s="6" t="inlineStr">
        <is>
          <t>In Stock (Immediate Dispatch)</t>
        </is>
      </c>
      <c r="S181" s="6" t="inlineStr">
        <is>
          <t>Coupled to Primary Separable Connector</t>
        </is>
      </c>
      <c r="T181" s="6" t="inlineStr">
        <is>
          <t>CENELEC HD 629.1, EN 50180, EN 50181</t>
        </is>
      </c>
      <c r="U181" s="5" t="inlineStr">
        <is>
          <t>Page 32</t>
        </is>
      </c>
    </row>
    <row r="182" ht="20" customHeight="1">
      <c r="A182" s="10" t="inlineStr">
        <is>
          <t>Cable Bushings &amp; Connectors</t>
        </is>
      </c>
      <c r="B182" s="10" t="inlineStr">
        <is>
          <t>Screened Coupling Connectors (Double Cable)</t>
        </is>
      </c>
      <c r="C182" s="10" t="inlineStr">
        <is>
          <t>TE Raychem RSTI-CC</t>
        </is>
      </c>
      <c r="D182" s="10" t="inlineStr">
        <is>
          <t>RSTI-CC-5813</t>
        </is>
      </c>
      <c r="E182" s="10" t="inlineStr">
        <is>
          <t>RSTI-CC-58 (70 mm² Al)</t>
        </is>
      </c>
      <c r="F182" s="10" t="inlineStr">
        <is>
          <t>TE Raychem RSTI-CC-58 Screened Coupling Connector 800A with DIN Al Compression Lug (70 mm²)</t>
        </is>
      </c>
      <c r="G182" s="9" t="inlineStr">
        <is>
          <t>Up to 24kV</t>
        </is>
      </c>
      <c r="H182" s="9" t="inlineStr">
        <is>
          <t>800A</t>
        </is>
      </c>
      <c r="I182" s="9" t="inlineStr">
        <is>
          <t>-</t>
        </is>
      </c>
      <c r="J182" s="10" t="inlineStr">
        <is>
          <t>Couples to rear of RSTI-58</t>
        </is>
      </c>
      <c r="K182" s="9" t="inlineStr">
        <is>
          <t>IP67 Submersible / Touch-Proof</t>
        </is>
      </c>
      <c r="L182" s="10" t="inlineStr">
        <is>
          <t>Connects onto rear of RSTI-58 base connector for parallel / double cable termination; Core insulation dia: 12.7 - 23.4 mm; EPDM conductive screen; 800A continuous rating</t>
        </is>
      </c>
      <c r="M182" s="9" t="inlineStr">
        <is>
          <t>USD / Upon Request</t>
        </is>
      </c>
      <c r="N182" s="12" t="inlineStr">
        <is>
          <t>Upon request</t>
        </is>
      </c>
      <c r="O182" s="11" t="n"/>
      <c r="P182" s="12">
        <f>IF(ISNUMBER(N182),N182*(1-O182),N182)</f>
        <v/>
      </c>
      <c r="Q182" s="9" t="inlineStr">
        <is>
          <t>Upon request</t>
        </is>
      </c>
      <c r="R182" s="10" t="inlineStr">
        <is>
          <t>In Stock (Immediate Dispatch)</t>
        </is>
      </c>
      <c r="S182" s="10" t="inlineStr">
        <is>
          <t>Coupled to Primary Separable Connector</t>
        </is>
      </c>
      <c r="T182" s="10" t="inlineStr">
        <is>
          <t>CENELEC HD 629.1, EN 50180, EN 50181</t>
        </is>
      </c>
      <c r="U182" s="9" t="inlineStr">
        <is>
          <t>Page 32</t>
        </is>
      </c>
    </row>
    <row r="183" ht="20" customHeight="1">
      <c r="A183" s="6" t="inlineStr">
        <is>
          <t>Cable Bushings &amp; Connectors</t>
        </is>
      </c>
      <c r="B183" s="6" t="inlineStr">
        <is>
          <t>Screened Coupling Connectors (Double Cable)</t>
        </is>
      </c>
      <c r="C183" s="6" t="inlineStr">
        <is>
          <t>TE Raychem RSTI-CC</t>
        </is>
      </c>
      <c r="D183" s="6" t="inlineStr">
        <is>
          <t>RSTI-CC-5833</t>
        </is>
      </c>
      <c r="E183" s="6" t="inlineStr">
        <is>
          <t>RSTI-CC-58 (70 mm² Cu)</t>
        </is>
      </c>
      <c r="F183" s="6" t="inlineStr">
        <is>
          <t>TE Raychem RSTI-CC-58 Screened Coupling Connector 800A with DIN Cu Compression Lug (70 mm²)</t>
        </is>
      </c>
      <c r="G183" s="5" t="inlineStr">
        <is>
          <t>Up to 24kV</t>
        </is>
      </c>
      <c r="H183" s="5" t="inlineStr">
        <is>
          <t>800A</t>
        </is>
      </c>
      <c r="I183" s="5" t="inlineStr">
        <is>
          <t>-</t>
        </is>
      </c>
      <c r="J183" s="6" t="inlineStr">
        <is>
          <t>Couples to rear of RSTI-58</t>
        </is>
      </c>
      <c r="K183" s="5" t="inlineStr">
        <is>
          <t>IP67 Submersible / Touch-Proof</t>
        </is>
      </c>
      <c r="L183" s="6" t="inlineStr">
        <is>
          <t>Connects onto rear of RSTI-58 base connector for parallel / double cable termination; Core insulation dia: 12.7 - 23.4 mm; EPDM conductive screen; 800A continuous rating</t>
        </is>
      </c>
      <c r="M183" s="5" t="inlineStr">
        <is>
          <t>USD / Upon Request</t>
        </is>
      </c>
      <c r="N183" s="8" t="inlineStr">
        <is>
          <t>Upon request</t>
        </is>
      </c>
      <c r="O183" s="7" t="n"/>
      <c r="P183" s="8">
        <f>IF(ISNUMBER(N183),N183*(1-O183),N183)</f>
        <v/>
      </c>
      <c r="Q183" s="5" t="inlineStr">
        <is>
          <t>Upon request</t>
        </is>
      </c>
      <c r="R183" s="6" t="inlineStr">
        <is>
          <t>In Stock (Immediate Dispatch)</t>
        </is>
      </c>
      <c r="S183" s="6" t="inlineStr">
        <is>
          <t>Coupled to Primary Separable Connector</t>
        </is>
      </c>
      <c r="T183" s="6" t="inlineStr">
        <is>
          <t>CENELEC HD 629.1, EN 50180, EN 50181</t>
        </is>
      </c>
      <c r="U183" s="5" t="inlineStr">
        <is>
          <t>Page 32</t>
        </is>
      </c>
    </row>
    <row r="184" ht="20" customHeight="1">
      <c r="A184" s="10" t="inlineStr">
        <is>
          <t>Cable Bushings &amp; Connectors</t>
        </is>
      </c>
      <c r="B184" s="10" t="inlineStr">
        <is>
          <t>Screened Coupling Connectors (Double Cable)</t>
        </is>
      </c>
      <c r="C184" s="10" t="inlineStr">
        <is>
          <t>TE Raychem RSTI-CC</t>
        </is>
      </c>
      <c r="D184" s="10" t="inlineStr">
        <is>
          <t>RSTI-CC-5814</t>
        </is>
      </c>
      <c r="E184" s="10" t="inlineStr">
        <is>
          <t>RSTI-CC-58 (95 mm² (12kV) Al)</t>
        </is>
      </c>
      <c r="F184" s="10" t="inlineStr">
        <is>
          <t>TE Raychem RSTI-CC-58 Screened Coupling Connector 800A with DIN Al Compression Lug (95 mm² (12kV))</t>
        </is>
      </c>
      <c r="G184" s="9" t="inlineStr">
        <is>
          <t>Up to 24kV</t>
        </is>
      </c>
      <c r="H184" s="9" t="inlineStr">
        <is>
          <t>800A</t>
        </is>
      </c>
      <c r="I184" s="9" t="inlineStr">
        <is>
          <t>-</t>
        </is>
      </c>
      <c r="J184" s="10" t="inlineStr">
        <is>
          <t>Couples to rear of RSTI-58</t>
        </is>
      </c>
      <c r="K184" s="9" t="inlineStr">
        <is>
          <t>IP67 Submersible / Touch-Proof</t>
        </is>
      </c>
      <c r="L184" s="10" t="inlineStr">
        <is>
          <t>Connects onto rear of RSTI-58 base connector for parallel / double cable termination; Core insulation dia: 12.7 - 23.4 mm; EPDM conductive screen; 800A continuous rating</t>
        </is>
      </c>
      <c r="M184" s="9" t="inlineStr">
        <is>
          <t>USD / Upon Request</t>
        </is>
      </c>
      <c r="N184" s="12" t="inlineStr">
        <is>
          <t>Upon request</t>
        </is>
      </c>
      <c r="O184" s="11" t="n"/>
      <c r="P184" s="12">
        <f>IF(ISNUMBER(N184),N184*(1-O184),N184)</f>
        <v/>
      </c>
      <c r="Q184" s="9" t="inlineStr">
        <is>
          <t>Upon request</t>
        </is>
      </c>
      <c r="R184" s="10" t="inlineStr">
        <is>
          <t>In Stock (Immediate Dispatch)</t>
        </is>
      </c>
      <c r="S184" s="10" t="inlineStr">
        <is>
          <t>Coupled to Primary Separable Connector</t>
        </is>
      </c>
      <c r="T184" s="10" t="inlineStr">
        <is>
          <t>CENELEC HD 629.1, EN 50180, EN 50181</t>
        </is>
      </c>
      <c r="U184" s="9" t="inlineStr">
        <is>
          <t>Page 32</t>
        </is>
      </c>
    </row>
    <row r="185" ht="20" customHeight="1">
      <c r="A185" s="6" t="inlineStr">
        <is>
          <t>Cable Bushings &amp; Connectors</t>
        </is>
      </c>
      <c r="B185" s="6" t="inlineStr">
        <is>
          <t>Screened Coupling Connectors (Double Cable)</t>
        </is>
      </c>
      <c r="C185" s="6" t="inlineStr">
        <is>
          <t>TE Raychem RSTI-CC</t>
        </is>
      </c>
      <c r="D185" s="6" t="inlineStr">
        <is>
          <t>RSTI-CC-5834</t>
        </is>
      </c>
      <c r="E185" s="6" t="inlineStr">
        <is>
          <t>RSTI-CC-58 (95 mm² (12kV) Cu)</t>
        </is>
      </c>
      <c r="F185" s="6" t="inlineStr">
        <is>
          <t>TE Raychem RSTI-CC-58 Screened Coupling Connector 800A with DIN Cu Compression Lug (95 mm² (12kV))</t>
        </is>
      </c>
      <c r="G185" s="5" t="inlineStr">
        <is>
          <t>Up to 24kV</t>
        </is>
      </c>
      <c r="H185" s="5" t="inlineStr">
        <is>
          <t>800A</t>
        </is>
      </c>
      <c r="I185" s="5" t="inlineStr">
        <is>
          <t>-</t>
        </is>
      </c>
      <c r="J185" s="6" t="inlineStr">
        <is>
          <t>Couples to rear of RSTI-58</t>
        </is>
      </c>
      <c r="K185" s="5" t="inlineStr">
        <is>
          <t>IP67 Submersible / Touch-Proof</t>
        </is>
      </c>
      <c r="L185" s="6" t="inlineStr">
        <is>
          <t>Connects onto rear of RSTI-58 base connector for parallel / double cable termination; Core insulation dia: 12.7 - 23.4 mm; EPDM conductive screen; 800A continuous rating</t>
        </is>
      </c>
      <c r="M185" s="5" t="inlineStr">
        <is>
          <t>USD / Upon Request</t>
        </is>
      </c>
      <c r="N185" s="8" t="inlineStr">
        <is>
          <t>Upon request</t>
        </is>
      </c>
      <c r="O185" s="7" t="n"/>
      <c r="P185" s="8">
        <f>IF(ISNUMBER(N185),N185*(1-O185),N185)</f>
        <v/>
      </c>
      <c r="Q185" s="5" t="inlineStr">
        <is>
          <t>Upon request</t>
        </is>
      </c>
      <c r="R185" s="6" t="inlineStr">
        <is>
          <t>In Stock (Immediate Dispatch)</t>
        </is>
      </c>
      <c r="S185" s="6" t="inlineStr">
        <is>
          <t>Coupled to Primary Separable Connector</t>
        </is>
      </c>
      <c r="T185" s="6" t="inlineStr">
        <is>
          <t>CENELEC HD 629.1, EN 50180, EN 50181</t>
        </is>
      </c>
      <c r="U185" s="5" t="inlineStr">
        <is>
          <t>Page 32</t>
        </is>
      </c>
    </row>
    <row r="186" ht="20" customHeight="1">
      <c r="A186" s="10" t="inlineStr">
        <is>
          <t>Cable Bushings &amp; Connectors</t>
        </is>
      </c>
      <c r="B186" s="10" t="inlineStr">
        <is>
          <t>Screened Coupling Connectors (Double Cable)</t>
        </is>
      </c>
      <c r="C186" s="10" t="inlineStr">
        <is>
          <t>TE Raychem RSTI-CC</t>
        </is>
      </c>
      <c r="D186" s="10" t="inlineStr">
        <is>
          <t>RSTI-CC-5824</t>
        </is>
      </c>
      <c r="E186" s="10" t="inlineStr">
        <is>
          <t>RSTI-CC-58 (95 mm² (24kV) Al)</t>
        </is>
      </c>
      <c r="F186" s="10" t="inlineStr">
        <is>
          <t>TE Raychem RSTI-CC-58 Screened Coupling Connector 800A with DIN Al Compression Lug (95 mm² (24kV))</t>
        </is>
      </c>
      <c r="G186" s="9" t="inlineStr">
        <is>
          <t>Up to 24kV</t>
        </is>
      </c>
      <c r="H186" s="9" t="inlineStr">
        <is>
          <t>800A</t>
        </is>
      </c>
      <c r="I186" s="9" t="inlineStr">
        <is>
          <t>-</t>
        </is>
      </c>
      <c r="J186" s="10" t="inlineStr">
        <is>
          <t>Couples to rear of RSTI-58</t>
        </is>
      </c>
      <c r="K186" s="9" t="inlineStr">
        <is>
          <t>IP67 Submersible / Touch-Proof</t>
        </is>
      </c>
      <c r="L186" s="10" t="inlineStr">
        <is>
          <t>Connects onto rear of RSTI-58 base connector for parallel / double cable termination; Core insulation dia: 12.7 - 23.4 mm; EPDM conductive screen; 800A continuous rating</t>
        </is>
      </c>
      <c r="M186" s="9" t="inlineStr">
        <is>
          <t>USD / Upon Request</t>
        </is>
      </c>
      <c r="N186" s="12" t="inlineStr">
        <is>
          <t>Upon request</t>
        </is>
      </c>
      <c r="O186" s="11" t="n"/>
      <c r="P186" s="12">
        <f>IF(ISNUMBER(N186),N186*(1-O186),N186)</f>
        <v/>
      </c>
      <c r="Q186" s="9" t="inlineStr">
        <is>
          <t>Upon request</t>
        </is>
      </c>
      <c r="R186" s="10" t="inlineStr">
        <is>
          <t>In Stock (Immediate Dispatch)</t>
        </is>
      </c>
      <c r="S186" s="10" t="inlineStr">
        <is>
          <t>Coupled to Primary Separable Connector</t>
        </is>
      </c>
      <c r="T186" s="10" t="inlineStr">
        <is>
          <t>CENELEC HD 629.1, EN 50180, EN 50181</t>
        </is>
      </c>
      <c r="U186" s="9" t="inlineStr">
        <is>
          <t>Page 32</t>
        </is>
      </c>
    </row>
    <row r="187" ht="20" customHeight="1">
      <c r="A187" s="6" t="inlineStr">
        <is>
          <t>Cable Bushings &amp; Connectors</t>
        </is>
      </c>
      <c r="B187" s="6" t="inlineStr">
        <is>
          <t>Screened Coupling Connectors (Double Cable)</t>
        </is>
      </c>
      <c r="C187" s="6" t="inlineStr">
        <is>
          <t>TE Raychem RSTI-CC</t>
        </is>
      </c>
      <c r="D187" s="6" t="inlineStr">
        <is>
          <t>RSTI-CC-5844</t>
        </is>
      </c>
      <c r="E187" s="6" t="inlineStr">
        <is>
          <t>RSTI-CC-58 (95 mm² (24kV) Cu)</t>
        </is>
      </c>
      <c r="F187" s="6" t="inlineStr">
        <is>
          <t>TE Raychem RSTI-CC-58 Screened Coupling Connector 800A with DIN Cu Compression Lug (95 mm² (24kV))</t>
        </is>
      </c>
      <c r="G187" s="5" t="inlineStr">
        <is>
          <t>Up to 24kV</t>
        </is>
      </c>
      <c r="H187" s="5" t="inlineStr">
        <is>
          <t>800A</t>
        </is>
      </c>
      <c r="I187" s="5" t="inlineStr">
        <is>
          <t>-</t>
        </is>
      </c>
      <c r="J187" s="6" t="inlineStr">
        <is>
          <t>Couples to rear of RSTI-58</t>
        </is>
      </c>
      <c r="K187" s="5" t="inlineStr">
        <is>
          <t>IP67 Submersible / Touch-Proof</t>
        </is>
      </c>
      <c r="L187" s="6" t="inlineStr">
        <is>
          <t>Connects onto rear of RSTI-58 base connector for parallel / double cable termination; Core insulation dia: 12.7 - 23.4 mm; EPDM conductive screen; 800A continuous rating</t>
        </is>
      </c>
      <c r="M187" s="5" t="inlineStr">
        <is>
          <t>USD / Upon Request</t>
        </is>
      </c>
      <c r="N187" s="8" t="inlineStr">
        <is>
          <t>Upon request</t>
        </is>
      </c>
      <c r="O187" s="7" t="n"/>
      <c r="P187" s="8">
        <f>IF(ISNUMBER(N187),N187*(1-O187),N187)</f>
        <v/>
      </c>
      <c r="Q187" s="5" t="inlineStr">
        <is>
          <t>Upon request</t>
        </is>
      </c>
      <c r="R187" s="6" t="inlineStr">
        <is>
          <t>In Stock (Immediate Dispatch)</t>
        </is>
      </c>
      <c r="S187" s="6" t="inlineStr">
        <is>
          <t>Coupled to Primary Separable Connector</t>
        </is>
      </c>
      <c r="T187" s="6" t="inlineStr">
        <is>
          <t>CENELEC HD 629.1, EN 50180, EN 50181</t>
        </is>
      </c>
      <c r="U187" s="5" t="inlineStr">
        <is>
          <t>Page 32</t>
        </is>
      </c>
    </row>
    <row r="188" ht="20" customHeight="1">
      <c r="A188" s="10" t="inlineStr">
        <is>
          <t>Cable Bushings &amp; Connectors</t>
        </is>
      </c>
      <c r="B188" s="10" t="inlineStr">
        <is>
          <t>Screened Coupling Connectors (Double Cable)</t>
        </is>
      </c>
      <c r="C188" s="10" t="inlineStr">
        <is>
          <t>TE Raychem RSTI-CC</t>
        </is>
      </c>
      <c r="D188" s="10" t="inlineStr">
        <is>
          <t>RSTI-CC-5815</t>
        </is>
      </c>
      <c r="E188" s="10" t="inlineStr">
        <is>
          <t>RSTI-CC-58 (120 mm² (12kV) Al)</t>
        </is>
      </c>
      <c r="F188" s="10" t="inlineStr">
        <is>
          <t>TE Raychem RSTI-CC-58 Screened Coupling Connector 800A with DIN Al Compression Lug (120 mm² (12kV))</t>
        </is>
      </c>
      <c r="G188" s="9" t="inlineStr">
        <is>
          <t>Up to 24kV</t>
        </is>
      </c>
      <c r="H188" s="9" t="inlineStr">
        <is>
          <t>800A</t>
        </is>
      </c>
      <c r="I188" s="9" t="inlineStr">
        <is>
          <t>-</t>
        </is>
      </c>
      <c r="J188" s="10" t="inlineStr">
        <is>
          <t>Couples to rear of RSTI-58</t>
        </is>
      </c>
      <c r="K188" s="9" t="inlineStr">
        <is>
          <t>IP67 Submersible / Touch-Proof</t>
        </is>
      </c>
      <c r="L188" s="10" t="inlineStr">
        <is>
          <t>Connects onto rear of RSTI-58 base connector for parallel / double cable termination; Core insulation dia: 12.7 - 23.4 mm; EPDM conductive screen; 800A continuous rating</t>
        </is>
      </c>
      <c r="M188" s="9" t="inlineStr">
        <is>
          <t>USD / Upon Request</t>
        </is>
      </c>
      <c r="N188" s="12" t="inlineStr">
        <is>
          <t>Upon request</t>
        </is>
      </c>
      <c r="O188" s="11" t="n"/>
      <c r="P188" s="12">
        <f>IF(ISNUMBER(N188),N188*(1-O188),N188)</f>
        <v/>
      </c>
      <c r="Q188" s="9" t="inlineStr">
        <is>
          <t>Upon request</t>
        </is>
      </c>
      <c r="R188" s="10" t="inlineStr">
        <is>
          <t>In Stock (Immediate Dispatch)</t>
        </is>
      </c>
      <c r="S188" s="10" t="inlineStr">
        <is>
          <t>Coupled to Primary Separable Connector</t>
        </is>
      </c>
      <c r="T188" s="10" t="inlineStr">
        <is>
          <t>CENELEC HD 629.1, EN 50180, EN 50181</t>
        </is>
      </c>
      <c r="U188" s="9" t="inlineStr">
        <is>
          <t>Page 32</t>
        </is>
      </c>
    </row>
    <row r="189" ht="20" customHeight="1">
      <c r="A189" s="6" t="inlineStr">
        <is>
          <t>Cable Bushings &amp; Connectors</t>
        </is>
      </c>
      <c r="B189" s="6" t="inlineStr">
        <is>
          <t>Screened Coupling Connectors (Double Cable)</t>
        </is>
      </c>
      <c r="C189" s="6" t="inlineStr">
        <is>
          <t>TE Raychem RSTI-CC</t>
        </is>
      </c>
      <c r="D189" s="6" t="inlineStr">
        <is>
          <t>RSTI-CC-5835</t>
        </is>
      </c>
      <c r="E189" s="6" t="inlineStr">
        <is>
          <t>RSTI-CC-58 (120 mm² (12kV) Cu)</t>
        </is>
      </c>
      <c r="F189" s="6" t="inlineStr">
        <is>
          <t>TE Raychem RSTI-CC-58 Screened Coupling Connector 800A with DIN Cu Compression Lug (120 mm² (12kV))</t>
        </is>
      </c>
      <c r="G189" s="5" t="inlineStr">
        <is>
          <t>Up to 24kV</t>
        </is>
      </c>
      <c r="H189" s="5" t="inlineStr">
        <is>
          <t>800A</t>
        </is>
      </c>
      <c r="I189" s="5" t="inlineStr">
        <is>
          <t>-</t>
        </is>
      </c>
      <c r="J189" s="6" t="inlineStr">
        <is>
          <t>Couples to rear of RSTI-58</t>
        </is>
      </c>
      <c r="K189" s="5" t="inlineStr">
        <is>
          <t>IP67 Submersible / Touch-Proof</t>
        </is>
      </c>
      <c r="L189" s="6" t="inlineStr">
        <is>
          <t>Connects onto rear of RSTI-58 base connector for parallel / double cable termination; Core insulation dia: 12.7 - 23.4 mm; EPDM conductive screen; 800A continuous rating</t>
        </is>
      </c>
      <c r="M189" s="5" t="inlineStr">
        <is>
          <t>USD / Upon Request</t>
        </is>
      </c>
      <c r="N189" s="8" t="inlineStr">
        <is>
          <t>Upon request</t>
        </is>
      </c>
      <c r="O189" s="7" t="n"/>
      <c r="P189" s="8">
        <f>IF(ISNUMBER(N189),N189*(1-O189),N189)</f>
        <v/>
      </c>
      <c r="Q189" s="5" t="inlineStr">
        <is>
          <t>Upon request</t>
        </is>
      </c>
      <c r="R189" s="6" t="inlineStr">
        <is>
          <t>In Stock (Immediate Dispatch)</t>
        </is>
      </c>
      <c r="S189" s="6" t="inlineStr">
        <is>
          <t>Coupled to Primary Separable Connector</t>
        </is>
      </c>
      <c r="T189" s="6" t="inlineStr">
        <is>
          <t>CENELEC HD 629.1, EN 50180, EN 50181</t>
        </is>
      </c>
      <c r="U189" s="5" t="inlineStr">
        <is>
          <t>Page 32</t>
        </is>
      </c>
    </row>
    <row r="190" ht="20" customHeight="1">
      <c r="A190" s="10" t="inlineStr">
        <is>
          <t>Cable Bushings &amp; Connectors</t>
        </is>
      </c>
      <c r="B190" s="10" t="inlineStr">
        <is>
          <t>Screened Coupling Connectors (Double Cable)</t>
        </is>
      </c>
      <c r="C190" s="10" t="inlineStr">
        <is>
          <t>TE Raychem RSTI-CC</t>
        </is>
      </c>
      <c r="D190" s="10" t="inlineStr">
        <is>
          <t>RSTI-CC-5825</t>
        </is>
      </c>
      <c r="E190" s="10" t="inlineStr">
        <is>
          <t>RSTI-CC-58 (120 mm² (24kV) Al)</t>
        </is>
      </c>
      <c r="F190" s="10" t="inlineStr">
        <is>
          <t>TE Raychem RSTI-CC-58 Screened Coupling Connector 800A with DIN Al Compression Lug (120 mm² (24kV))</t>
        </is>
      </c>
      <c r="G190" s="9" t="inlineStr">
        <is>
          <t>Up to 24kV</t>
        </is>
      </c>
      <c r="H190" s="9" t="inlineStr">
        <is>
          <t>800A</t>
        </is>
      </c>
      <c r="I190" s="9" t="inlineStr">
        <is>
          <t>-</t>
        </is>
      </c>
      <c r="J190" s="10" t="inlineStr">
        <is>
          <t>Couples to rear of RSTI-58</t>
        </is>
      </c>
      <c r="K190" s="9" t="inlineStr">
        <is>
          <t>IP67 Submersible / Touch-Proof</t>
        </is>
      </c>
      <c r="L190" s="10" t="inlineStr">
        <is>
          <t>Connects onto rear of RSTI-58 base connector for parallel / double cable termination; Core insulation dia: 21.2 - 34.6 mm; EPDM conductive screen; 800A continuous rating</t>
        </is>
      </c>
      <c r="M190" s="9" t="inlineStr">
        <is>
          <t>USD / Upon Request</t>
        </is>
      </c>
      <c r="N190" s="12" t="inlineStr">
        <is>
          <t>Upon request</t>
        </is>
      </c>
      <c r="O190" s="11" t="n"/>
      <c r="P190" s="12">
        <f>IF(ISNUMBER(N190),N190*(1-O190),N190)</f>
        <v/>
      </c>
      <c r="Q190" s="9" t="inlineStr">
        <is>
          <t>Upon request</t>
        </is>
      </c>
      <c r="R190" s="10" t="inlineStr">
        <is>
          <t>In Stock (Immediate Dispatch)</t>
        </is>
      </c>
      <c r="S190" s="10" t="inlineStr">
        <is>
          <t>Coupled to Primary Separable Connector</t>
        </is>
      </c>
      <c r="T190" s="10" t="inlineStr">
        <is>
          <t>CENELEC HD 629.1, EN 50180, EN 50181</t>
        </is>
      </c>
      <c r="U190" s="9" t="inlineStr">
        <is>
          <t>Page 32</t>
        </is>
      </c>
    </row>
    <row r="191" ht="20" customHeight="1">
      <c r="A191" s="6" t="inlineStr">
        <is>
          <t>Cable Bushings &amp; Connectors</t>
        </is>
      </c>
      <c r="B191" s="6" t="inlineStr">
        <is>
          <t>Screened Coupling Connectors (Double Cable)</t>
        </is>
      </c>
      <c r="C191" s="6" t="inlineStr">
        <is>
          <t>TE Raychem RSTI-CC</t>
        </is>
      </c>
      <c r="D191" s="6" t="inlineStr">
        <is>
          <t>RSTI-CC-5845</t>
        </is>
      </c>
      <c r="E191" s="6" t="inlineStr">
        <is>
          <t>RSTI-CC-58 (120 mm² (24kV) Cu)</t>
        </is>
      </c>
      <c r="F191" s="6" t="inlineStr">
        <is>
          <t>TE Raychem RSTI-CC-58 Screened Coupling Connector 800A with DIN Cu Compression Lug (120 mm² (24kV))</t>
        </is>
      </c>
      <c r="G191" s="5" t="inlineStr">
        <is>
          <t>Up to 24kV</t>
        </is>
      </c>
      <c r="H191" s="5" t="inlineStr">
        <is>
          <t>800A</t>
        </is>
      </c>
      <c r="I191" s="5" t="inlineStr">
        <is>
          <t>-</t>
        </is>
      </c>
      <c r="J191" s="6" t="inlineStr">
        <is>
          <t>Couples to rear of RSTI-58</t>
        </is>
      </c>
      <c r="K191" s="5" t="inlineStr">
        <is>
          <t>IP67 Submersible / Touch-Proof</t>
        </is>
      </c>
      <c r="L191" s="6" t="inlineStr">
        <is>
          <t>Connects onto rear of RSTI-58 base connector for parallel / double cable termination; Core insulation dia: 21.2 - 34.6 mm; EPDM conductive screen; 800A continuous rating</t>
        </is>
      </c>
      <c r="M191" s="5" t="inlineStr">
        <is>
          <t>USD / Upon Request</t>
        </is>
      </c>
      <c r="N191" s="8" t="inlineStr">
        <is>
          <t>Upon request</t>
        </is>
      </c>
      <c r="O191" s="7" t="n"/>
      <c r="P191" s="8">
        <f>IF(ISNUMBER(N191),N191*(1-O191),N191)</f>
        <v/>
      </c>
      <c r="Q191" s="5" t="inlineStr">
        <is>
          <t>Upon request</t>
        </is>
      </c>
      <c r="R191" s="6" t="inlineStr">
        <is>
          <t>In Stock (Immediate Dispatch)</t>
        </is>
      </c>
      <c r="S191" s="6" t="inlineStr">
        <is>
          <t>Coupled to Primary Separable Connector</t>
        </is>
      </c>
      <c r="T191" s="6" t="inlineStr">
        <is>
          <t>CENELEC HD 629.1, EN 50180, EN 50181</t>
        </is>
      </c>
      <c r="U191" s="5" t="inlineStr">
        <is>
          <t>Page 32</t>
        </is>
      </c>
    </row>
    <row r="192" ht="20" customHeight="1">
      <c r="A192" s="10" t="inlineStr">
        <is>
          <t>Cable Bushings &amp; Connectors</t>
        </is>
      </c>
      <c r="B192" s="10" t="inlineStr">
        <is>
          <t>Screened Coupling Connectors (Double Cable)</t>
        </is>
      </c>
      <c r="C192" s="10" t="inlineStr">
        <is>
          <t>TE Raychem RSTI-CC</t>
        </is>
      </c>
      <c r="D192" s="10" t="inlineStr">
        <is>
          <t>RSTI-CC-5826</t>
        </is>
      </c>
      <c r="E192" s="10" t="inlineStr">
        <is>
          <t>RSTI-CC-58 (150 mm² Al)</t>
        </is>
      </c>
      <c r="F192" s="10" t="inlineStr">
        <is>
          <t>TE Raychem RSTI-CC-58 Screened Coupling Connector 800A with DIN Al Compression Lug (150 mm²)</t>
        </is>
      </c>
      <c r="G192" s="9" t="inlineStr">
        <is>
          <t>Up to 24kV</t>
        </is>
      </c>
      <c r="H192" s="9" t="inlineStr">
        <is>
          <t>800A</t>
        </is>
      </c>
      <c r="I192" s="9" t="inlineStr">
        <is>
          <t>-</t>
        </is>
      </c>
      <c r="J192" s="10" t="inlineStr">
        <is>
          <t>Couples to rear of RSTI-58</t>
        </is>
      </c>
      <c r="K192" s="9" t="inlineStr">
        <is>
          <t>IP67 Submersible / Touch-Proof</t>
        </is>
      </c>
      <c r="L192" s="10" t="inlineStr">
        <is>
          <t>Connects onto rear of RSTI-58 base connector for parallel / double cable termination; Core insulation dia: 21.2 - 34.6 mm; EPDM conductive screen; 800A continuous rating</t>
        </is>
      </c>
      <c r="M192" s="9" t="inlineStr">
        <is>
          <t>USD / Upon Request</t>
        </is>
      </c>
      <c r="N192" s="12" t="inlineStr">
        <is>
          <t>Upon request</t>
        </is>
      </c>
      <c r="O192" s="11" t="n"/>
      <c r="P192" s="12">
        <f>IF(ISNUMBER(N192),N192*(1-O192),N192)</f>
        <v/>
      </c>
      <c r="Q192" s="9" t="inlineStr">
        <is>
          <t>Upon request</t>
        </is>
      </c>
      <c r="R192" s="10" t="inlineStr">
        <is>
          <t>In Stock (Immediate Dispatch)</t>
        </is>
      </c>
      <c r="S192" s="10" t="inlineStr">
        <is>
          <t>Coupled to Primary Separable Connector</t>
        </is>
      </c>
      <c r="T192" s="10" t="inlineStr">
        <is>
          <t>CENELEC HD 629.1, EN 50180, EN 50181</t>
        </is>
      </c>
      <c r="U192" s="9" t="inlineStr">
        <is>
          <t>Page 32</t>
        </is>
      </c>
    </row>
    <row r="193" ht="20" customHeight="1">
      <c r="A193" s="6" t="inlineStr">
        <is>
          <t>Cable Bushings &amp; Connectors</t>
        </is>
      </c>
      <c r="B193" s="6" t="inlineStr">
        <is>
          <t>Screened Coupling Connectors (Double Cable)</t>
        </is>
      </c>
      <c r="C193" s="6" t="inlineStr">
        <is>
          <t>TE Raychem RSTI-CC</t>
        </is>
      </c>
      <c r="D193" s="6" t="inlineStr">
        <is>
          <t>RSTI-CC-5846</t>
        </is>
      </c>
      <c r="E193" s="6" t="inlineStr">
        <is>
          <t>RSTI-CC-58 (150 mm² Cu)</t>
        </is>
      </c>
      <c r="F193" s="6" t="inlineStr">
        <is>
          <t>TE Raychem RSTI-CC-58 Screened Coupling Connector 800A with DIN Cu Compression Lug (150 mm²)</t>
        </is>
      </c>
      <c r="G193" s="5" t="inlineStr">
        <is>
          <t>Up to 24kV</t>
        </is>
      </c>
      <c r="H193" s="5" t="inlineStr">
        <is>
          <t>800A</t>
        </is>
      </c>
      <c r="I193" s="5" t="inlineStr">
        <is>
          <t>-</t>
        </is>
      </c>
      <c r="J193" s="6" t="inlineStr">
        <is>
          <t>Couples to rear of RSTI-58</t>
        </is>
      </c>
      <c r="K193" s="5" t="inlineStr">
        <is>
          <t>IP67 Submersible / Touch-Proof</t>
        </is>
      </c>
      <c r="L193" s="6" t="inlineStr">
        <is>
          <t>Connects onto rear of RSTI-58 base connector for parallel / double cable termination; Core insulation dia: 21.2 - 34.6 mm; EPDM conductive screen; 800A continuous rating</t>
        </is>
      </c>
      <c r="M193" s="5" t="inlineStr">
        <is>
          <t>USD / Upon Request</t>
        </is>
      </c>
      <c r="N193" s="8" t="inlineStr">
        <is>
          <t>Upon request</t>
        </is>
      </c>
      <c r="O193" s="7" t="n"/>
      <c r="P193" s="8">
        <f>IF(ISNUMBER(N193),N193*(1-O193),N193)</f>
        <v/>
      </c>
      <c r="Q193" s="5" t="inlineStr">
        <is>
          <t>Upon request</t>
        </is>
      </c>
      <c r="R193" s="6" t="inlineStr">
        <is>
          <t>In Stock (Immediate Dispatch)</t>
        </is>
      </c>
      <c r="S193" s="6" t="inlineStr">
        <is>
          <t>Coupled to Primary Separable Connector</t>
        </is>
      </c>
      <c r="T193" s="6" t="inlineStr">
        <is>
          <t>CENELEC HD 629.1, EN 50180, EN 50181</t>
        </is>
      </c>
      <c r="U193" s="5" t="inlineStr">
        <is>
          <t>Page 32</t>
        </is>
      </c>
    </row>
    <row r="194" ht="20" customHeight="1">
      <c r="A194" s="10" t="inlineStr">
        <is>
          <t>Cable Bushings &amp; Connectors</t>
        </is>
      </c>
      <c r="B194" s="10" t="inlineStr">
        <is>
          <t>Screened Coupling Connectors (Double Cable)</t>
        </is>
      </c>
      <c r="C194" s="10" t="inlineStr">
        <is>
          <t>TE Raychem RSTI-CC</t>
        </is>
      </c>
      <c r="D194" s="10" t="inlineStr">
        <is>
          <t>RSTI-CC-5827</t>
        </is>
      </c>
      <c r="E194" s="10" t="inlineStr">
        <is>
          <t>RSTI-CC-58 (185 mm² Al)</t>
        </is>
      </c>
      <c r="F194" s="10" t="inlineStr">
        <is>
          <t>TE Raychem RSTI-CC-58 Screened Coupling Connector 800A with DIN Al Compression Lug (185 mm²)</t>
        </is>
      </c>
      <c r="G194" s="9" t="inlineStr">
        <is>
          <t>Up to 24kV</t>
        </is>
      </c>
      <c r="H194" s="9" t="inlineStr">
        <is>
          <t>800A</t>
        </is>
      </c>
      <c r="I194" s="9" t="inlineStr">
        <is>
          <t>-</t>
        </is>
      </c>
      <c r="J194" s="10" t="inlineStr">
        <is>
          <t>Couples to rear of RSTI-58</t>
        </is>
      </c>
      <c r="K194" s="9" t="inlineStr">
        <is>
          <t>IP67 Submersible / Touch-Proof</t>
        </is>
      </c>
      <c r="L194" s="10" t="inlineStr">
        <is>
          <t>Connects onto rear of RSTI-58 base connector for parallel / double cable termination; Core insulation dia: 21.2 - 34.6 mm; EPDM conductive screen; 800A continuous rating</t>
        </is>
      </c>
      <c r="M194" s="9" t="inlineStr">
        <is>
          <t>USD / Upon Request</t>
        </is>
      </c>
      <c r="N194" s="12" t="inlineStr">
        <is>
          <t>Upon request</t>
        </is>
      </c>
      <c r="O194" s="11" t="n"/>
      <c r="P194" s="12">
        <f>IF(ISNUMBER(N194),N194*(1-O194),N194)</f>
        <v/>
      </c>
      <c r="Q194" s="9" t="inlineStr">
        <is>
          <t>Upon request</t>
        </is>
      </c>
      <c r="R194" s="10" t="inlineStr">
        <is>
          <t>In Stock (Immediate Dispatch)</t>
        </is>
      </c>
      <c r="S194" s="10" t="inlineStr">
        <is>
          <t>Coupled to Primary Separable Connector</t>
        </is>
      </c>
      <c r="T194" s="10" t="inlineStr">
        <is>
          <t>CENELEC HD 629.1, EN 50180, EN 50181</t>
        </is>
      </c>
      <c r="U194" s="9" t="inlineStr">
        <is>
          <t>Page 32</t>
        </is>
      </c>
    </row>
    <row r="195" ht="20" customHeight="1">
      <c r="A195" s="6" t="inlineStr">
        <is>
          <t>Cable Bushings &amp; Connectors</t>
        </is>
      </c>
      <c r="B195" s="6" t="inlineStr">
        <is>
          <t>Screened Coupling Connectors (Double Cable)</t>
        </is>
      </c>
      <c r="C195" s="6" t="inlineStr">
        <is>
          <t>TE Raychem RSTI-CC</t>
        </is>
      </c>
      <c r="D195" s="6" t="inlineStr">
        <is>
          <t>RSTI-CC-5847</t>
        </is>
      </c>
      <c r="E195" s="6" t="inlineStr">
        <is>
          <t>RSTI-CC-58 (185 mm² Cu)</t>
        </is>
      </c>
      <c r="F195" s="6" t="inlineStr">
        <is>
          <t>TE Raychem RSTI-CC-58 Screened Coupling Connector 800A with DIN Cu Compression Lug (185 mm²)</t>
        </is>
      </c>
      <c r="G195" s="5" t="inlineStr">
        <is>
          <t>Up to 24kV</t>
        </is>
      </c>
      <c r="H195" s="5" t="inlineStr">
        <is>
          <t>800A</t>
        </is>
      </c>
      <c r="I195" s="5" t="inlineStr">
        <is>
          <t>-</t>
        </is>
      </c>
      <c r="J195" s="6" t="inlineStr">
        <is>
          <t>Couples to rear of RSTI-58</t>
        </is>
      </c>
      <c r="K195" s="5" t="inlineStr">
        <is>
          <t>IP67 Submersible / Touch-Proof</t>
        </is>
      </c>
      <c r="L195" s="6" t="inlineStr">
        <is>
          <t>Connects onto rear of RSTI-58 base connector for parallel / double cable termination; Core insulation dia: 21.2 - 34.6 mm; EPDM conductive screen; 800A continuous rating</t>
        </is>
      </c>
      <c r="M195" s="5" t="inlineStr">
        <is>
          <t>USD / Upon Request</t>
        </is>
      </c>
      <c r="N195" s="8" t="inlineStr">
        <is>
          <t>Upon request</t>
        </is>
      </c>
      <c r="O195" s="7" t="n"/>
      <c r="P195" s="8">
        <f>IF(ISNUMBER(N195),N195*(1-O195),N195)</f>
        <v/>
      </c>
      <c r="Q195" s="5" t="inlineStr">
        <is>
          <t>Upon request</t>
        </is>
      </c>
      <c r="R195" s="6" t="inlineStr">
        <is>
          <t>In Stock (Immediate Dispatch)</t>
        </is>
      </c>
      <c r="S195" s="6" t="inlineStr">
        <is>
          <t>Coupled to Primary Separable Connector</t>
        </is>
      </c>
      <c r="T195" s="6" t="inlineStr">
        <is>
          <t>CENELEC HD 629.1, EN 50180, EN 50181</t>
        </is>
      </c>
      <c r="U195" s="5" t="inlineStr">
        <is>
          <t>Page 32</t>
        </is>
      </c>
    </row>
    <row r="196" ht="20" customHeight="1">
      <c r="A196" s="10" t="inlineStr">
        <is>
          <t>Cable Bushings &amp; Connectors</t>
        </is>
      </c>
      <c r="B196" s="10" t="inlineStr">
        <is>
          <t>Screened Coupling Connectors (Double Cable)</t>
        </is>
      </c>
      <c r="C196" s="10" t="inlineStr">
        <is>
          <t>TE Raychem RSTI-CC</t>
        </is>
      </c>
      <c r="D196" s="10" t="inlineStr">
        <is>
          <t>RSTI-CC-5828</t>
        </is>
      </c>
      <c r="E196" s="10" t="inlineStr">
        <is>
          <t>RSTI-CC-58 (240 mm² Al)</t>
        </is>
      </c>
      <c r="F196" s="10" t="inlineStr">
        <is>
          <t>TE Raychem RSTI-CC-58 Screened Coupling Connector 800A with DIN Al Compression Lug (240 mm²)</t>
        </is>
      </c>
      <c r="G196" s="9" t="inlineStr">
        <is>
          <t>Up to 24kV</t>
        </is>
      </c>
      <c r="H196" s="9" t="inlineStr">
        <is>
          <t>800A</t>
        </is>
      </c>
      <c r="I196" s="9" t="inlineStr">
        <is>
          <t>-</t>
        </is>
      </c>
      <c r="J196" s="10" t="inlineStr">
        <is>
          <t>Couples to rear of RSTI-58</t>
        </is>
      </c>
      <c r="K196" s="9" t="inlineStr">
        <is>
          <t>IP67 Submersible / Touch-Proof</t>
        </is>
      </c>
      <c r="L196" s="10" t="inlineStr">
        <is>
          <t>Connects onto rear of RSTI-58 base connector for parallel / double cable termination; Core insulation dia: 21.2 - 34.6 mm; EPDM conductive screen; 800A continuous rating</t>
        </is>
      </c>
      <c r="M196" s="9" t="inlineStr">
        <is>
          <t>USD / Upon Request</t>
        </is>
      </c>
      <c r="N196" s="12" t="inlineStr">
        <is>
          <t>Upon request</t>
        </is>
      </c>
      <c r="O196" s="11" t="n"/>
      <c r="P196" s="12">
        <f>IF(ISNUMBER(N196),N196*(1-O196),N196)</f>
        <v/>
      </c>
      <c r="Q196" s="9" t="inlineStr">
        <is>
          <t>Upon request</t>
        </is>
      </c>
      <c r="R196" s="10" t="inlineStr">
        <is>
          <t>In Stock (Immediate Dispatch)</t>
        </is>
      </c>
      <c r="S196" s="10" t="inlineStr">
        <is>
          <t>Coupled to Primary Separable Connector</t>
        </is>
      </c>
      <c r="T196" s="10" t="inlineStr">
        <is>
          <t>CENELEC HD 629.1, EN 50180, EN 50181</t>
        </is>
      </c>
      <c r="U196" s="9" t="inlineStr">
        <is>
          <t>Page 32</t>
        </is>
      </c>
    </row>
    <row r="197" ht="20" customHeight="1">
      <c r="A197" s="6" t="inlineStr">
        <is>
          <t>Cable Bushings &amp; Connectors</t>
        </is>
      </c>
      <c r="B197" s="6" t="inlineStr">
        <is>
          <t>Screened Coupling Connectors (Double Cable)</t>
        </is>
      </c>
      <c r="C197" s="6" t="inlineStr">
        <is>
          <t>TE Raychem RSTI-CC</t>
        </is>
      </c>
      <c r="D197" s="6" t="inlineStr">
        <is>
          <t>RSTI-CC-5848</t>
        </is>
      </c>
      <c r="E197" s="6" t="inlineStr">
        <is>
          <t>RSTI-CC-58 (240 mm² Cu)</t>
        </is>
      </c>
      <c r="F197" s="6" t="inlineStr">
        <is>
          <t>TE Raychem RSTI-CC-58 Screened Coupling Connector 800A with DIN Cu Compression Lug (240 mm²)</t>
        </is>
      </c>
      <c r="G197" s="5" t="inlineStr">
        <is>
          <t>Up to 24kV</t>
        </is>
      </c>
      <c r="H197" s="5" t="inlineStr">
        <is>
          <t>800A</t>
        </is>
      </c>
      <c r="I197" s="5" t="inlineStr">
        <is>
          <t>-</t>
        </is>
      </c>
      <c r="J197" s="6" t="inlineStr">
        <is>
          <t>Couples to rear of RSTI-58</t>
        </is>
      </c>
      <c r="K197" s="5" t="inlineStr">
        <is>
          <t>IP67 Submersible / Touch-Proof</t>
        </is>
      </c>
      <c r="L197" s="6" t="inlineStr">
        <is>
          <t>Connects onto rear of RSTI-58 base connector for parallel / double cable termination; Core insulation dia: 21.2 - 34.6 mm; EPDM conductive screen; 800A continuous rating</t>
        </is>
      </c>
      <c r="M197" s="5" t="inlineStr">
        <is>
          <t>USD / Upon Request</t>
        </is>
      </c>
      <c r="N197" s="8" t="inlineStr">
        <is>
          <t>Upon request</t>
        </is>
      </c>
      <c r="O197" s="7" t="n"/>
      <c r="P197" s="8">
        <f>IF(ISNUMBER(N197),N197*(1-O197),N197)</f>
        <v/>
      </c>
      <c r="Q197" s="5" t="inlineStr">
        <is>
          <t>Upon request</t>
        </is>
      </c>
      <c r="R197" s="6" t="inlineStr">
        <is>
          <t>In Stock (Immediate Dispatch)</t>
        </is>
      </c>
      <c r="S197" s="6" t="inlineStr">
        <is>
          <t>Coupled to Primary Separable Connector</t>
        </is>
      </c>
      <c r="T197" s="6" t="inlineStr">
        <is>
          <t>CENELEC HD 629.1, EN 50180, EN 50181</t>
        </is>
      </c>
      <c r="U197" s="5" t="inlineStr">
        <is>
          <t>Page 32</t>
        </is>
      </c>
    </row>
    <row r="198" ht="20" customHeight="1">
      <c r="A198" s="10" t="inlineStr">
        <is>
          <t>Cable Bushings &amp; Connectors</t>
        </is>
      </c>
      <c r="B198" s="10" t="inlineStr">
        <is>
          <t>Screened Coupling Connectors (Double Cable)</t>
        </is>
      </c>
      <c r="C198" s="10" t="inlineStr">
        <is>
          <t>TE Raychem RSTI-CC</t>
        </is>
      </c>
      <c r="D198" s="10" t="inlineStr">
        <is>
          <t>RSTI-CC-5829</t>
        </is>
      </c>
      <c r="E198" s="10" t="inlineStr">
        <is>
          <t>RSTI-CC-58 (300 mm² Al)</t>
        </is>
      </c>
      <c r="F198" s="10" t="inlineStr">
        <is>
          <t>TE Raychem RSTI-CC-58 Screened Coupling Connector 800A with DIN Al Compression Lug (300 mm²)</t>
        </is>
      </c>
      <c r="G198" s="9" t="inlineStr">
        <is>
          <t>Up to 24kV</t>
        </is>
      </c>
      <c r="H198" s="9" t="inlineStr">
        <is>
          <t>800A</t>
        </is>
      </c>
      <c r="I198" s="9" t="inlineStr">
        <is>
          <t>-</t>
        </is>
      </c>
      <c r="J198" s="10" t="inlineStr">
        <is>
          <t>Couples to rear of RSTI-58</t>
        </is>
      </c>
      <c r="K198" s="9" t="inlineStr">
        <is>
          <t>IP67 Submersible / Touch-Proof</t>
        </is>
      </c>
      <c r="L198" s="10" t="inlineStr">
        <is>
          <t>Connects onto rear of RSTI-58 base connector for parallel / double cable termination; Core insulation dia: 21.2 - 34.6 mm; EPDM conductive screen; 800A continuous rating</t>
        </is>
      </c>
      <c r="M198" s="9" t="inlineStr">
        <is>
          <t>USD / Upon Request</t>
        </is>
      </c>
      <c r="N198" s="12" t="inlineStr">
        <is>
          <t>Upon request</t>
        </is>
      </c>
      <c r="O198" s="11" t="n"/>
      <c r="P198" s="12">
        <f>IF(ISNUMBER(N198),N198*(1-O198),N198)</f>
        <v/>
      </c>
      <c r="Q198" s="9" t="inlineStr">
        <is>
          <t>Upon request</t>
        </is>
      </c>
      <c r="R198" s="10" t="inlineStr">
        <is>
          <t>In Stock (Immediate Dispatch)</t>
        </is>
      </c>
      <c r="S198" s="10" t="inlineStr">
        <is>
          <t>Coupled to Primary Separable Connector</t>
        </is>
      </c>
      <c r="T198" s="10" t="inlineStr">
        <is>
          <t>CENELEC HD 629.1, EN 50180, EN 50181</t>
        </is>
      </c>
      <c r="U198" s="9" t="inlineStr">
        <is>
          <t>Page 32</t>
        </is>
      </c>
    </row>
    <row r="199" ht="20" customHeight="1">
      <c r="A199" s="6" t="inlineStr">
        <is>
          <t>Cable Bushings &amp; Connectors</t>
        </is>
      </c>
      <c r="B199" s="6" t="inlineStr">
        <is>
          <t>Screened Coupling Connectors (Double Cable)</t>
        </is>
      </c>
      <c r="C199" s="6" t="inlineStr">
        <is>
          <t>TE Raychem RSTI-CC</t>
        </is>
      </c>
      <c r="D199" s="6" t="inlineStr">
        <is>
          <t>RSTI-CC-5849</t>
        </is>
      </c>
      <c r="E199" s="6" t="inlineStr">
        <is>
          <t>RSTI-CC-58 (300 mm² Cu)</t>
        </is>
      </c>
      <c r="F199" s="6" t="inlineStr">
        <is>
          <t>TE Raychem RSTI-CC-58 Screened Coupling Connector 800A with DIN Cu Compression Lug (300 mm²)</t>
        </is>
      </c>
      <c r="G199" s="5" t="inlineStr">
        <is>
          <t>Up to 24kV</t>
        </is>
      </c>
      <c r="H199" s="5" t="inlineStr">
        <is>
          <t>800A</t>
        </is>
      </c>
      <c r="I199" s="5" t="inlineStr">
        <is>
          <t>-</t>
        </is>
      </c>
      <c r="J199" s="6" t="inlineStr">
        <is>
          <t>Couples to rear of RSTI-58</t>
        </is>
      </c>
      <c r="K199" s="5" t="inlineStr">
        <is>
          <t>IP67 Submersible / Touch-Proof</t>
        </is>
      </c>
      <c r="L199" s="6" t="inlineStr">
        <is>
          <t>Connects onto rear of RSTI-58 base connector for parallel / double cable termination; Core insulation dia: 21.2 - 34.6 mm; EPDM conductive screen; 800A continuous rating</t>
        </is>
      </c>
      <c r="M199" s="5" t="inlineStr">
        <is>
          <t>USD / Upon Request</t>
        </is>
      </c>
      <c r="N199" s="8" t="inlineStr">
        <is>
          <t>Upon request</t>
        </is>
      </c>
      <c r="O199" s="7" t="n"/>
      <c r="P199" s="8">
        <f>IF(ISNUMBER(N199),N199*(1-O199),N199)</f>
        <v/>
      </c>
      <c r="Q199" s="5" t="inlineStr">
        <is>
          <t>Upon request</t>
        </is>
      </c>
      <c r="R199" s="6" t="inlineStr">
        <is>
          <t>In Stock (Immediate Dispatch)</t>
        </is>
      </c>
      <c r="S199" s="6" t="inlineStr">
        <is>
          <t>Coupled to Primary Separable Connector</t>
        </is>
      </c>
      <c r="T199" s="6" t="inlineStr">
        <is>
          <t>CENELEC HD 629.1, EN 50180, EN 50181</t>
        </is>
      </c>
      <c r="U199" s="5" t="inlineStr">
        <is>
          <t>Page 32</t>
        </is>
      </c>
    </row>
    <row r="200" ht="20" customHeight="1">
      <c r="A200" s="10" t="inlineStr">
        <is>
          <t>Cable Bushings &amp; Connectors</t>
        </is>
      </c>
      <c r="B200" s="10" t="inlineStr">
        <is>
          <t>Screened Coupling Connectors (Mechanical Lug)</t>
        </is>
      </c>
      <c r="C200" s="10" t="inlineStr">
        <is>
          <t>TE Raychem RSTI-CC</t>
        </is>
      </c>
      <c r="D200" s="10" t="inlineStr">
        <is>
          <t>RSTI-CC-5851</t>
        </is>
      </c>
      <c r="E200" s="10" t="inlineStr">
        <is>
          <t>RSTI-CC-58 Mech (35 - 95 mm² (12kV) / 35 - 70 mm² (24kV))</t>
        </is>
      </c>
      <c r="F200" s="10" t="inlineStr">
        <is>
          <t>TE Raychem RSTI-CC-58 Coupling Connector with Mechanical Shear Bolt Lug (35 - 95 mm² (12kV) / 35 - 70 mm² (24kV))</t>
        </is>
      </c>
      <c r="G200" s="9" t="inlineStr">
        <is>
          <t>Up to 24kV</t>
        </is>
      </c>
      <c r="H200" s="9" t="inlineStr">
        <is>
          <t>800A</t>
        </is>
      </c>
      <c r="I200" s="9" t="inlineStr">
        <is>
          <t>-</t>
        </is>
      </c>
      <c r="J200" s="10" t="inlineStr">
        <is>
          <t>Coupled to rear of RSTI-58</t>
        </is>
      </c>
      <c r="K200" s="9" t="inlineStr">
        <is>
          <t>IP67 Submersible / Touch-Proof</t>
        </is>
      </c>
      <c r="L200" s="10" t="inlineStr">
        <is>
          <t>Core insulation diameter: 12.7 - 23.4 mm; Mechanical shear-bolt connector for Al and Cu conductors; No crimping tool needed; 800A rating</t>
        </is>
      </c>
      <c r="M200" s="9" t="inlineStr">
        <is>
          <t>USD / Upon Request</t>
        </is>
      </c>
      <c r="N200" s="12" t="inlineStr">
        <is>
          <t>Upon request</t>
        </is>
      </c>
      <c r="O200" s="11" t="n"/>
      <c r="P200" s="12">
        <f>IF(ISNUMBER(N200),N200*(1-O200),N200)</f>
        <v/>
      </c>
      <c r="Q200" s="9" t="inlineStr">
        <is>
          <t>Upon request</t>
        </is>
      </c>
      <c r="R200" s="10" t="inlineStr">
        <is>
          <t>In Stock (Immediate Dispatch)</t>
        </is>
      </c>
      <c r="S200" s="10" t="inlineStr">
        <is>
          <t>Coupled to Primary Separable Connector</t>
        </is>
      </c>
      <c r="T200" s="10" t="inlineStr">
        <is>
          <t>CENELEC HD 629.1, EN 50180, EN 50181</t>
        </is>
      </c>
      <c r="U200" s="9" t="inlineStr">
        <is>
          <t>Page 32</t>
        </is>
      </c>
    </row>
    <row r="201" ht="20" customHeight="1">
      <c r="A201" s="6" t="inlineStr">
        <is>
          <t>Cable Bushings &amp; Connectors</t>
        </is>
      </c>
      <c r="B201" s="6" t="inlineStr">
        <is>
          <t>Screened Coupling Connectors (Mechanical Lug)</t>
        </is>
      </c>
      <c r="C201" s="6" t="inlineStr">
        <is>
          <t>TE Raychem RSTI-CC</t>
        </is>
      </c>
      <c r="D201" s="6" t="inlineStr">
        <is>
          <t>RSTI-CC-5852</t>
        </is>
      </c>
      <c r="E201" s="6" t="inlineStr">
        <is>
          <t>RSTI-CC-58 Mech (95 - 120 mm² (12kV))</t>
        </is>
      </c>
      <c r="F201" s="6" t="inlineStr">
        <is>
          <t>TE Raychem RSTI-CC-58 Coupling Connector with Mechanical Shear Bolt Lug (95 - 120 mm² (12kV))</t>
        </is>
      </c>
      <c r="G201" s="5" t="inlineStr">
        <is>
          <t>Up to 24kV</t>
        </is>
      </c>
      <c r="H201" s="5" t="inlineStr">
        <is>
          <t>800A</t>
        </is>
      </c>
      <c r="I201" s="5" t="inlineStr">
        <is>
          <t>-</t>
        </is>
      </c>
      <c r="J201" s="6" t="inlineStr">
        <is>
          <t>Coupled to rear of RSTI-58</t>
        </is>
      </c>
      <c r="K201" s="5" t="inlineStr">
        <is>
          <t>IP67 Submersible / Touch-Proof</t>
        </is>
      </c>
      <c r="L201" s="6" t="inlineStr">
        <is>
          <t>Core insulation diameter: 12.7 - 23.4 mm; Mechanical shear-bolt connector for Al and Cu conductors; No crimping tool needed; 800A rating</t>
        </is>
      </c>
      <c r="M201" s="5" t="inlineStr">
        <is>
          <t>USD / Upon Request</t>
        </is>
      </c>
      <c r="N201" s="8" t="inlineStr">
        <is>
          <t>Upon request</t>
        </is>
      </c>
      <c r="O201" s="7" t="n"/>
      <c r="P201" s="8">
        <f>IF(ISNUMBER(N201),N201*(1-O201),N201)</f>
        <v/>
      </c>
      <c r="Q201" s="5" t="inlineStr">
        <is>
          <t>Upon request</t>
        </is>
      </c>
      <c r="R201" s="6" t="inlineStr">
        <is>
          <t>In Stock (Immediate Dispatch)</t>
        </is>
      </c>
      <c r="S201" s="6" t="inlineStr">
        <is>
          <t>Coupled to Primary Separable Connector</t>
        </is>
      </c>
      <c r="T201" s="6" t="inlineStr">
        <is>
          <t>CENELEC HD 629.1, EN 50180, EN 50181</t>
        </is>
      </c>
      <c r="U201" s="5" t="inlineStr">
        <is>
          <t>Page 32</t>
        </is>
      </c>
    </row>
    <row r="202" ht="20" customHeight="1">
      <c r="A202" s="10" t="inlineStr">
        <is>
          <t>Cable Bushings &amp; Connectors</t>
        </is>
      </c>
      <c r="B202" s="10" t="inlineStr">
        <is>
          <t>Screened Coupling Connectors (Mechanical Lug)</t>
        </is>
      </c>
      <c r="C202" s="10" t="inlineStr">
        <is>
          <t>TE Raychem RSTI-CC</t>
        </is>
      </c>
      <c r="D202" s="10" t="inlineStr">
        <is>
          <t>RSTI-CC-5853</t>
        </is>
      </c>
      <c r="E202" s="10" t="inlineStr">
        <is>
          <t>RSTI-CC-58 Mech (95 - 240 mm² (12kV) / 95 - 185 mm² (24kV))</t>
        </is>
      </c>
      <c r="F202" s="10" t="inlineStr">
        <is>
          <t>TE Raychem RSTI-CC-58 Coupling Connector with Mechanical Shear Bolt Lug (95 - 240 mm² (12kV) / 95 - 185 mm² (24kV))</t>
        </is>
      </c>
      <c r="G202" s="9" t="inlineStr">
        <is>
          <t>Up to 24kV</t>
        </is>
      </c>
      <c r="H202" s="9" t="inlineStr">
        <is>
          <t>800A</t>
        </is>
      </c>
      <c r="I202" s="9" t="inlineStr">
        <is>
          <t>-</t>
        </is>
      </c>
      <c r="J202" s="10" t="inlineStr">
        <is>
          <t>Coupled to rear of RSTI-58</t>
        </is>
      </c>
      <c r="K202" s="9" t="inlineStr">
        <is>
          <t>IP67 Submersible / Touch-Proof</t>
        </is>
      </c>
      <c r="L202" s="10" t="inlineStr">
        <is>
          <t>Core insulation diameter: 17.0 - 30.1 mm; Mechanical shear-bolt connector for Al and Cu conductors; No crimping tool needed; 800A rating</t>
        </is>
      </c>
      <c r="M202" s="9" t="inlineStr">
        <is>
          <t>USD / Upon Request</t>
        </is>
      </c>
      <c r="N202" s="12" t="inlineStr">
        <is>
          <t>Upon request</t>
        </is>
      </c>
      <c r="O202" s="11" t="n"/>
      <c r="P202" s="12">
        <f>IF(ISNUMBER(N202),N202*(1-O202),N202)</f>
        <v/>
      </c>
      <c r="Q202" s="9" t="inlineStr">
        <is>
          <t>Upon request</t>
        </is>
      </c>
      <c r="R202" s="10" t="inlineStr">
        <is>
          <t>In Stock (Immediate Dispatch)</t>
        </is>
      </c>
      <c r="S202" s="10" t="inlineStr">
        <is>
          <t>Coupled to Primary Separable Connector</t>
        </is>
      </c>
      <c r="T202" s="10" t="inlineStr">
        <is>
          <t>CENELEC HD 629.1, EN 50180, EN 50181</t>
        </is>
      </c>
      <c r="U202" s="9" t="inlineStr">
        <is>
          <t>Page 32</t>
        </is>
      </c>
    </row>
    <row r="203" ht="20" customHeight="1">
      <c r="A203" s="6" t="inlineStr">
        <is>
          <t>Cable Bushings &amp; Connectors</t>
        </is>
      </c>
      <c r="B203" s="6" t="inlineStr">
        <is>
          <t>Screened Coupling Connectors (Mechanical Lug)</t>
        </is>
      </c>
      <c r="C203" s="6" t="inlineStr">
        <is>
          <t>TE Raychem RSTI-CC</t>
        </is>
      </c>
      <c r="D203" s="6" t="inlineStr">
        <is>
          <t>RSTI-CC-5854</t>
        </is>
      </c>
      <c r="E203" s="6" t="inlineStr">
        <is>
          <t>RSTI-CC-58 Mech (150 - 240 mm² (12kV) / 95 - 240 mm² (24kV))</t>
        </is>
      </c>
      <c r="F203" s="6" t="inlineStr">
        <is>
          <t>TE Raychem RSTI-CC-58 Coupling Connector with Mechanical Shear Bolt Lug (150 - 240 mm² (12kV) / 95 - 240 mm² (24kV))</t>
        </is>
      </c>
      <c r="G203" s="5" t="inlineStr">
        <is>
          <t>Up to 24kV</t>
        </is>
      </c>
      <c r="H203" s="5" t="inlineStr">
        <is>
          <t>800A</t>
        </is>
      </c>
      <c r="I203" s="5" t="inlineStr">
        <is>
          <t>-</t>
        </is>
      </c>
      <c r="J203" s="6" t="inlineStr">
        <is>
          <t>Coupled to rear of RSTI-58</t>
        </is>
      </c>
      <c r="K203" s="5" t="inlineStr">
        <is>
          <t>IP67 Submersible / Touch-Proof</t>
        </is>
      </c>
      <c r="L203" s="6" t="inlineStr">
        <is>
          <t>Core insulation diameter: 21.2 - 34.6 mm; Mechanical shear-bolt connector for Al and Cu conductors; No crimping tool needed; 800A rating</t>
        </is>
      </c>
      <c r="M203" s="5" t="inlineStr">
        <is>
          <t>USD / Upon Request</t>
        </is>
      </c>
      <c r="N203" s="8" t="inlineStr">
        <is>
          <t>Upon request</t>
        </is>
      </c>
      <c r="O203" s="7" t="n"/>
      <c r="P203" s="8">
        <f>IF(ISNUMBER(N203),N203*(1-O203),N203)</f>
        <v/>
      </c>
      <c r="Q203" s="5" t="inlineStr">
        <is>
          <t>Upon request</t>
        </is>
      </c>
      <c r="R203" s="6" t="inlineStr">
        <is>
          <t>In Stock (Immediate Dispatch)</t>
        </is>
      </c>
      <c r="S203" s="6" t="inlineStr">
        <is>
          <t>Coupled to Primary Separable Connector</t>
        </is>
      </c>
      <c r="T203" s="6" t="inlineStr">
        <is>
          <t>CENELEC HD 629.1, EN 50180, EN 50181</t>
        </is>
      </c>
      <c r="U203" s="5" t="inlineStr">
        <is>
          <t>Page 32</t>
        </is>
      </c>
    </row>
    <row r="204" ht="20" customHeight="1">
      <c r="A204" s="10" t="inlineStr">
        <is>
          <t>Cable Bushings &amp; Connectors</t>
        </is>
      </c>
      <c r="B204" s="10" t="inlineStr">
        <is>
          <t>Screened Coupling Connectors (Mechanical Lug)</t>
        </is>
      </c>
      <c r="C204" s="10" t="inlineStr">
        <is>
          <t>TE Raychem RSTI-CC</t>
        </is>
      </c>
      <c r="D204" s="10" t="inlineStr">
        <is>
          <t>RSTI-CC-5855</t>
        </is>
      </c>
      <c r="E204" s="10" t="inlineStr">
        <is>
          <t>RSTI-CC-58 Mech (185 - 300 mm² (12kV &amp; 24kV))</t>
        </is>
      </c>
      <c r="F204" s="10" t="inlineStr">
        <is>
          <t>TE Raychem RSTI-CC-58 Coupling Connector with Mechanical Shear Bolt Lug (185 - 300 mm² (12kV &amp; 24kV))</t>
        </is>
      </c>
      <c r="G204" s="9" t="inlineStr">
        <is>
          <t>Up to 24kV</t>
        </is>
      </c>
      <c r="H204" s="9" t="inlineStr">
        <is>
          <t>800A</t>
        </is>
      </c>
      <c r="I204" s="9" t="inlineStr">
        <is>
          <t>-</t>
        </is>
      </c>
      <c r="J204" s="10" t="inlineStr">
        <is>
          <t>Coupled to rear of RSTI-58</t>
        </is>
      </c>
      <c r="K204" s="9" t="inlineStr">
        <is>
          <t>IP67 Submersible / Touch-Proof</t>
        </is>
      </c>
      <c r="L204" s="10" t="inlineStr">
        <is>
          <t>Core insulation diameter: 21.2 - 34.6 mm; Mechanical shear-bolt connector for Al and Cu conductors; No crimping tool needed; 800A rating</t>
        </is>
      </c>
      <c r="M204" s="9" t="inlineStr">
        <is>
          <t>USD / Upon Request</t>
        </is>
      </c>
      <c r="N204" s="12" t="inlineStr">
        <is>
          <t>Upon request</t>
        </is>
      </c>
      <c r="O204" s="11" t="n"/>
      <c r="P204" s="12">
        <f>IF(ISNUMBER(N204),N204*(1-O204),N204)</f>
        <v/>
      </c>
      <c r="Q204" s="9" t="inlineStr">
        <is>
          <t>Upon request</t>
        </is>
      </c>
      <c r="R204" s="10" t="inlineStr">
        <is>
          <t>In Stock (Immediate Dispatch)</t>
        </is>
      </c>
      <c r="S204" s="10" t="inlineStr">
        <is>
          <t>Coupled to Primary Separable Connector</t>
        </is>
      </c>
      <c r="T204" s="10" t="inlineStr">
        <is>
          <t>CENELEC HD 629.1, EN 50180, EN 50181</t>
        </is>
      </c>
      <c r="U204" s="9" t="inlineStr">
        <is>
          <t>Page 32</t>
        </is>
      </c>
    </row>
    <row r="205" ht="20" customHeight="1">
      <c r="A205" s="6" t="inlineStr">
        <is>
          <t>Cable Bushings &amp; Connectors</t>
        </is>
      </c>
      <c r="B205" s="6" t="inlineStr">
        <is>
          <t>Screened Coupling Connectors (Mechanical Lug)</t>
        </is>
      </c>
      <c r="C205" s="6" t="inlineStr">
        <is>
          <t>TE Raychem RSTI-CC</t>
        </is>
      </c>
      <c r="D205" s="6" t="inlineStr">
        <is>
          <t>RSTI-CC-5856</t>
        </is>
      </c>
      <c r="E205" s="6" t="inlineStr">
        <is>
          <t>RSTI-CC-58 Mech (240 - 400 mm² (12kV))</t>
        </is>
      </c>
      <c r="F205" s="6" t="inlineStr">
        <is>
          <t>TE Raychem RSTI-CC-58 Coupling Connector with Mechanical Shear Bolt Lug (240 - 400 mm² (12kV))</t>
        </is>
      </c>
      <c r="G205" s="5" t="inlineStr">
        <is>
          <t>Up to 24kV</t>
        </is>
      </c>
      <c r="H205" s="5" t="inlineStr">
        <is>
          <t>800A</t>
        </is>
      </c>
      <c r="I205" s="5" t="inlineStr">
        <is>
          <t>-</t>
        </is>
      </c>
      <c r="J205" s="6" t="inlineStr">
        <is>
          <t>Coupled to rear of RSTI-58</t>
        </is>
      </c>
      <c r="K205" s="5" t="inlineStr">
        <is>
          <t>IP67 Submersible / Touch-Proof</t>
        </is>
      </c>
      <c r="L205" s="6" t="inlineStr">
        <is>
          <t>Core insulation diameter: 21.2 - 34.6 mm; Mechanical shear-bolt connector for Al and Cu conductors; No crimping tool needed; 800A rating</t>
        </is>
      </c>
      <c r="M205" s="5" t="inlineStr">
        <is>
          <t>USD / Upon Request</t>
        </is>
      </c>
      <c r="N205" s="8" t="inlineStr">
        <is>
          <t>Upon request</t>
        </is>
      </c>
      <c r="O205" s="7" t="n"/>
      <c r="P205" s="8">
        <f>IF(ISNUMBER(N205),N205*(1-O205),N205)</f>
        <v/>
      </c>
      <c r="Q205" s="5" t="inlineStr">
        <is>
          <t>Upon request</t>
        </is>
      </c>
      <c r="R205" s="6" t="inlineStr">
        <is>
          <t>In Stock (Immediate Dispatch)</t>
        </is>
      </c>
      <c r="S205" s="6" t="inlineStr">
        <is>
          <t>Coupled to Primary Separable Connector</t>
        </is>
      </c>
      <c r="T205" s="6" t="inlineStr">
        <is>
          <t>CENELEC HD 629.1, EN 50180, EN 50181</t>
        </is>
      </c>
      <c r="U205" s="5" t="inlineStr">
        <is>
          <t>Page 32</t>
        </is>
      </c>
    </row>
    <row r="206" ht="20" customHeight="1">
      <c r="A206" s="10" t="inlineStr">
        <is>
          <t>Cable Bushing Boots</t>
        </is>
      </c>
      <c r="B206" s="10" t="inlineStr">
        <is>
          <t>Insulating Bushing Boots</t>
        </is>
      </c>
      <c r="C206" s="10" t="inlineStr">
        <is>
          <t>TE Raychem Boot Series</t>
        </is>
      </c>
      <c r="D206" s="10" t="inlineStr">
        <is>
          <t>RCAB 4110</t>
        </is>
      </c>
      <c r="E206" s="10" t="inlineStr">
        <is>
          <t>TE Raychem RCAB 4110</t>
        </is>
      </c>
      <c r="F206" s="10" t="inlineStr">
        <is>
          <t>TE Raychem RCAB Elastomeric Insulating Bushing Boot (Bushing Dia 31-45mm)</t>
        </is>
      </c>
      <c r="G206" s="9" t="inlineStr">
        <is>
          <t>Up to 17.5kV</t>
        </is>
      </c>
      <c r="H206" s="9" t="inlineStr">
        <is>
          <t>400A / 630A</t>
        </is>
      </c>
      <c r="I206" s="9" t="inlineStr">
        <is>
          <t>-</t>
        </is>
      </c>
      <c r="J206" s="10" t="inlineStr">
        <is>
          <t>Right Angle Profile</t>
        </is>
      </c>
      <c r="K206" s="9" t="inlineStr">
        <is>
          <t>Insulated / Flashover Proof</t>
        </is>
      </c>
      <c r="L206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06" s="9" t="inlineStr">
        <is>
          <t>USD / Upon Request</t>
        </is>
      </c>
      <c r="N206" s="12" t="inlineStr">
        <is>
          <t>Upon request</t>
        </is>
      </c>
      <c r="O206" s="11" t="n"/>
      <c r="P206" s="12">
        <f>IF(ISNUMBER(N206),N206*(1-O206),N206)</f>
        <v/>
      </c>
      <c r="Q206" s="9" t="inlineStr">
        <is>
          <t>Upon request</t>
        </is>
      </c>
      <c r="R206" s="10" t="inlineStr">
        <is>
          <t>In Stock (Immediate Dispatch)</t>
        </is>
      </c>
      <c r="S206" s="10" t="inlineStr">
        <is>
          <t>Push-on / Heat Shrink over Bushing</t>
        </is>
      </c>
      <c r="T206" s="10" t="inlineStr">
        <is>
          <t>IEC 60137, CENELEC HD 629.1</t>
        </is>
      </c>
      <c r="U206" s="9" t="inlineStr">
        <is>
          <t>Page 33</t>
        </is>
      </c>
    </row>
    <row r="207" ht="20" customHeight="1">
      <c r="A207" s="6" t="inlineStr">
        <is>
          <t>Cable Bushing Boots</t>
        </is>
      </c>
      <c r="B207" s="6" t="inlineStr">
        <is>
          <t>Insulating Bushing Boots</t>
        </is>
      </c>
      <c r="C207" s="6" t="inlineStr">
        <is>
          <t>TE Raychem Boot Series</t>
        </is>
      </c>
      <c r="D207" s="6" t="inlineStr">
        <is>
          <t>RCAB 4120</t>
        </is>
      </c>
      <c r="E207" s="6" t="inlineStr">
        <is>
          <t>TE Raychem RCAB 4120</t>
        </is>
      </c>
      <c r="F207" s="6" t="inlineStr">
        <is>
          <t>TE Raychem RCAB Elastomeric Insulating Bushing Boot (Bushing Dia 46-70mm)</t>
        </is>
      </c>
      <c r="G207" s="5" t="inlineStr">
        <is>
          <t>Up to 17.5kV</t>
        </is>
      </c>
      <c r="H207" s="5" t="inlineStr">
        <is>
          <t>400A / 630A</t>
        </is>
      </c>
      <c r="I207" s="5" t="inlineStr">
        <is>
          <t>-</t>
        </is>
      </c>
      <c r="J207" s="6" t="inlineStr">
        <is>
          <t>Right Angle Profile</t>
        </is>
      </c>
      <c r="K207" s="5" t="inlineStr">
        <is>
          <t>Insulated / Flashover Proof</t>
        </is>
      </c>
      <c r="L207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07" s="5" t="inlineStr">
        <is>
          <t>USD / Upon Request</t>
        </is>
      </c>
      <c r="N207" s="8" t="inlineStr">
        <is>
          <t>Upon request</t>
        </is>
      </c>
      <c r="O207" s="7" t="n"/>
      <c r="P207" s="8">
        <f>IF(ISNUMBER(N207),N207*(1-O207),N207)</f>
        <v/>
      </c>
      <c r="Q207" s="5" t="inlineStr">
        <is>
          <t>Upon request</t>
        </is>
      </c>
      <c r="R207" s="6" t="inlineStr">
        <is>
          <t>In Stock (Immediate Dispatch)</t>
        </is>
      </c>
      <c r="S207" s="6" t="inlineStr">
        <is>
          <t>Push-on / Heat Shrink over Bushing</t>
        </is>
      </c>
      <c r="T207" s="6" t="inlineStr">
        <is>
          <t>IEC 60137, CENELEC HD 629.1</t>
        </is>
      </c>
      <c r="U207" s="5" t="inlineStr">
        <is>
          <t>Page 33</t>
        </is>
      </c>
    </row>
    <row r="208" ht="20" customHeight="1">
      <c r="A208" s="10" t="inlineStr">
        <is>
          <t>Cable Bushing Boots</t>
        </is>
      </c>
      <c r="B208" s="10" t="inlineStr">
        <is>
          <t>Insulating Bushing Boots</t>
        </is>
      </c>
      <c r="C208" s="10" t="inlineStr">
        <is>
          <t>TE Raychem Boot Series</t>
        </is>
      </c>
      <c r="D208" s="10" t="inlineStr">
        <is>
          <t>RSRB-4042</t>
        </is>
      </c>
      <c r="E208" s="10" t="inlineStr">
        <is>
          <t>TE Raychem RSRB-4042</t>
        </is>
      </c>
      <c r="F208" s="10" t="inlineStr">
        <is>
          <t>TE Raychem RSRB Heat Shrink Insulating Bushing Boot Right Angle Long (10-35 mm²)</t>
        </is>
      </c>
      <c r="G208" s="9" t="inlineStr">
        <is>
          <t>Up to 17.5kV</t>
        </is>
      </c>
      <c r="H208" s="9" t="inlineStr">
        <is>
          <t>400A / 630A</t>
        </is>
      </c>
      <c r="I208" s="9" t="inlineStr">
        <is>
          <t>-</t>
        </is>
      </c>
      <c r="J208" s="10" t="inlineStr">
        <is>
          <t>Right Angle Profile</t>
        </is>
      </c>
      <c r="K208" s="9" t="inlineStr">
        <is>
          <t>Insulated / Flashover Proof</t>
        </is>
      </c>
      <c r="L208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08" s="9" t="inlineStr">
        <is>
          <t>USD / Upon Request</t>
        </is>
      </c>
      <c r="N208" s="12" t="inlineStr">
        <is>
          <t>Upon request</t>
        </is>
      </c>
      <c r="O208" s="11" t="n"/>
      <c r="P208" s="12">
        <f>IF(ISNUMBER(N208),N208*(1-O208),N208)</f>
        <v/>
      </c>
      <c r="Q208" s="9" t="inlineStr">
        <is>
          <t>Upon request</t>
        </is>
      </c>
      <c r="R208" s="10" t="inlineStr">
        <is>
          <t>In Stock (Immediate Dispatch)</t>
        </is>
      </c>
      <c r="S208" s="10" t="inlineStr">
        <is>
          <t>Push-on / Heat Shrink over Bushing</t>
        </is>
      </c>
      <c r="T208" s="10" t="inlineStr">
        <is>
          <t>IEC 60137, CENELEC HD 629.1</t>
        </is>
      </c>
      <c r="U208" s="9" t="inlineStr">
        <is>
          <t>Page 33</t>
        </is>
      </c>
    </row>
    <row r="209" ht="20" customHeight="1">
      <c r="A209" s="6" t="inlineStr">
        <is>
          <t>Cable Bushing Boots</t>
        </is>
      </c>
      <c r="B209" s="6" t="inlineStr">
        <is>
          <t>Insulating Bushing Boots</t>
        </is>
      </c>
      <c r="C209" s="6" t="inlineStr">
        <is>
          <t>TE Raychem Boot Series</t>
        </is>
      </c>
      <c r="D209" s="6" t="inlineStr">
        <is>
          <t>RSRB-4044</t>
        </is>
      </c>
      <c r="E209" s="6" t="inlineStr">
        <is>
          <t>TE Raychem RSRB-4044</t>
        </is>
      </c>
      <c r="F209" s="6" t="inlineStr">
        <is>
          <t>TE Raychem RSRB Heat Shrink Insulating Bushing Boot Right Angle Long (50-95 mm²)</t>
        </is>
      </c>
      <c r="G209" s="5" t="inlineStr">
        <is>
          <t>Up to 17.5kV</t>
        </is>
      </c>
      <c r="H209" s="5" t="inlineStr">
        <is>
          <t>400A / 630A</t>
        </is>
      </c>
      <c r="I209" s="5" t="inlineStr">
        <is>
          <t>-</t>
        </is>
      </c>
      <c r="J209" s="6" t="inlineStr">
        <is>
          <t>Right Angle Profile</t>
        </is>
      </c>
      <c r="K209" s="5" t="inlineStr">
        <is>
          <t>Insulated / Flashover Proof</t>
        </is>
      </c>
      <c r="L209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09" s="5" t="inlineStr">
        <is>
          <t>USD / Upon Request</t>
        </is>
      </c>
      <c r="N209" s="8" t="inlineStr">
        <is>
          <t>Upon request</t>
        </is>
      </c>
      <c r="O209" s="7" t="n"/>
      <c r="P209" s="8">
        <f>IF(ISNUMBER(N209),N209*(1-O209),N209)</f>
        <v/>
      </c>
      <c r="Q209" s="5" t="inlineStr">
        <is>
          <t>Upon request</t>
        </is>
      </c>
      <c r="R209" s="6" t="inlineStr">
        <is>
          <t>In Stock (Immediate Dispatch)</t>
        </is>
      </c>
      <c r="S209" s="6" t="inlineStr">
        <is>
          <t>Push-on / Heat Shrink over Bushing</t>
        </is>
      </c>
      <c r="T209" s="6" t="inlineStr">
        <is>
          <t>IEC 60137, CENELEC HD 629.1</t>
        </is>
      </c>
      <c r="U209" s="5" t="inlineStr">
        <is>
          <t>Page 33</t>
        </is>
      </c>
    </row>
    <row r="210" ht="20" customHeight="1">
      <c r="A210" s="10" t="inlineStr">
        <is>
          <t>Cable Bushing Boots</t>
        </is>
      </c>
      <c r="B210" s="10" t="inlineStr">
        <is>
          <t>Insulating Bushing Boots</t>
        </is>
      </c>
      <c r="C210" s="10" t="inlineStr">
        <is>
          <t>TE Raychem Boot Series</t>
        </is>
      </c>
      <c r="D210" s="10" t="inlineStr">
        <is>
          <t>RSRB-4046</t>
        </is>
      </c>
      <c r="E210" s="10" t="inlineStr">
        <is>
          <t>TE Raychem RSRB-4046</t>
        </is>
      </c>
      <c r="F210" s="10" t="inlineStr">
        <is>
          <t>TE Raychem RSRB Heat Shrink Insulating Bushing Boot Right Angle Long (120-300 mm²)</t>
        </is>
      </c>
      <c r="G210" s="9" t="inlineStr">
        <is>
          <t>Up to 17.5kV</t>
        </is>
      </c>
      <c r="H210" s="9" t="inlineStr">
        <is>
          <t>400A / 630A</t>
        </is>
      </c>
      <c r="I210" s="9" t="inlineStr">
        <is>
          <t>-</t>
        </is>
      </c>
      <c r="J210" s="10" t="inlineStr">
        <is>
          <t>Right Angle Profile</t>
        </is>
      </c>
      <c r="K210" s="9" t="inlineStr">
        <is>
          <t>Insulated / Flashover Proof</t>
        </is>
      </c>
      <c r="L210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10" s="9" t="inlineStr">
        <is>
          <t>USD / Upon Request</t>
        </is>
      </c>
      <c r="N210" s="12" t="inlineStr">
        <is>
          <t>Upon request</t>
        </is>
      </c>
      <c r="O210" s="11" t="n"/>
      <c r="P210" s="12">
        <f>IF(ISNUMBER(N210),N210*(1-O210),N210)</f>
        <v/>
      </c>
      <c r="Q210" s="9" t="inlineStr">
        <is>
          <t>Upon request</t>
        </is>
      </c>
      <c r="R210" s="10" t="inlineStr">
        <is>
          <t>In Stock (Immediate Dispatch)</t>
        </is>
      </c>
      <c r="S210" s="10" t="inlineStr">
        <is>
          <t>Push-on / Heat Shrink over Bushing</t>
        </is>
      </c>
      <c r="T210" s="10" t="inlineStr">
        <is>
          <t>IEC 60137, CENELEC HD 629.1</t>
        </is>
      </c>
      <c r="U210" s="9" t="inlineStr">
        <is>
          <t>Page 33</t>
        </is>
      </c>
    </row>
    <row r="211" ht="20" customHeight="1">
      <c r="A211" s="6" t="inlineStr">
        <is>
          <t>Cable Bushing Boots</t>
        </is>
      </c>
      <c r="B211" s="6" t="inlineStr">
        <is>
          <t>Insulating Bushing Boots</t>
        </is>
      </c>
      <c r="C211" s="6" t="inlineStr">
        <is>
          <t>TE Raychem Boot Series</t>
        </is>
      </c>
      <c r="D211" s="6" t="inlineStr">
        <is>
          <t>RSRB-4062</t>
        </is>
      </c>
      <c r="E211" s="6" t="inlineStr">
        <is>
          <t>TE Raychem RSRB-4062</t>
        </is>
      </c>
      <c r="F211" s="6" t="inlineStr">
        <is>
          <t>TE Raychem RSRB Heat Shrink Insulating Bushing Boot Right Angle Short (10-35 mm²)</t>
        </is>
      </c>
      <c r="G211" s="5" t="inlineStr">
        <is>
          <t>Up to 17.5kV</t>
        </is>
      </c>
      <c r="H211" s="5" t="inlineStr">
        <is>
          <t>400A / 630A</t>
        </is>
      </c>
      <c r="I211" s="5" t="inlineStr">
        <is>
          <t>-</t>
        </is>
      </c>
      <c r="J211" s="6" t="inlineStr">
        <is>
          <t>Right Angle Profile</t>
        </is>
      </c>
      <c r="K211" s="5" t="inlineStr">
        <is>
          <t>Insulated / Flashover Proof</t>
        </is>
      </c>
      <c r="L211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11" s="5" t="inlineStr">
        <is>
          <t>USD / Upon Request</t>
        </is>
      </c>
      <c r="N211" s="8" t="inlineStr">
        <is>
          <t>Upon request</t>
        </is>
      </c>
      <c r="O211" s="7" t="n"/>
      <c r="P211" s="8">
        <f>IF(ISNUMBER(N211),N211*(1-O211),N211)</f>
        <v/>
      </c>
      <c r="Q211" s="5" t="inlineStr">
        <is>
          <t>Upon request</t>
        </is>
      </c>
      <c r="R211" s="6" t="inlineStr">
        <is>
          <t>In Stock (Immediate Dispatch)</t>
        </is>
      </c>
      <c r="S211" s="6" t="inlineStr">
        <is>
          <t>Push-on / Heat Shrink over Bushing</t>
        </is>
      </c>
      <c r="T211" s="6" t="inlineStr">
        <is>
          <t>IEC 60137, CENELEC HD 629.1</t>
        </is>
      </c>
      <c r="U211" s="5" t="inlineStr">
        <is>
          <t>Page 33</t>
        </is>
      </c>
    </row>
    <row r="212" ht="20" customHeight="1">
      <c r="A212" s="10" t="inlineStr">
        <is>
          <t>Cable Bushing Boots</t>
        </is>
      </c>
      <c r="B212" s="10" t="inlineStr">
        <is>
          <t>Insulating Bushing Boots</t>
        </is>
      </c>
      <c r="C212" s="10" t="inlineStr">
        <is>
          <t>TE Raychem Boot Series</t>
        </is>
      </c>
      <c r="D212" s="10" t="inlineStr">
        <is>
          <t>RSRB-4064</t>
        </is>
      </c>
      <c r="E212" s="10" t="inlineStr">
        <is>
          <t>TE Raychem RSRB-4064</t>
        </is>
      </c>
      <c r="F212" s="10" t="inlineStr">
        <is>
          <t>TE Raychem RSRB Heat Shrink Insulating Bushing Boot Right Angle Short (50-95 mm²)</t>
        </is>
      </c>
      <c r="G212" s="9" t="inlineStr">
        <is>
          <t>Up to 17.5kV</t>
        </is>
      </c>
      <c r="H212" s="9" t="inlineStr">
        <is>
          <t>400A / 630A</t>
        </is>
      </c>
      <c r="I212" s="9" t="inlineStr">
        <is>
          <t>-</t>
        </is>
      </c>
      <c r="J212" s="10" t="inlineStr">
        <is>
          <t>Right Angle Profile</t>
        </is>
      </c>
      <c r="K212" s="9" t="inlineStr">
        <is>
          <t>Insulated / Flashover Proof</t>
        </is>
      </c>
      <c r="L212" s="10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12" s="9" t="inlineStr">
        <is>
          <t>USD / Upon Request</t>
        </is>
      </c>
      <c r="N212" s="12" t="inlineStr">
        <is>
          <t>Upon request</t>
        </is>
      </c>
      <c r="O212" s="11" t="n"/>
      <c r="P212" s="12">
        <f>IF(ISNUMBER(N212),N212*(1-O212),N212)</f>
        <v/>
      </c>
      <c r="Q212" s="9" t="inlineStr">
        <is>
          <t>Upon request</t>
        </is>
      </c>
      <c r="R212" s="10" t="inlineStr">
        <is>
          <t>In Stock (Immediate Dispatch)</t>
        </is>
      </c>
      <c r="S212" s="10" t="inlineStr">
        <is>
          <t>Push-on / Heat Shrink over Bushing</t>
        </is>
      </c>
      <c r="T212" s="10" t="inlineStr">
        <is>
          <t>IEC 60137, CENELEC HD 629.1</t>
        </is>
      </c>
      <c r="U212" s="9" t="inlineStr">
        <is>
          <t>Page 33</t>
        </is>
      </c>
    </row>
    <row r="213" ht="20" customHeight="1">
      <c r="A213" s="6" t="inlineStr">
        <is>
          <t>Cable Bushing Boots</t>
        </is>
      </c>
      <c r="B213" s="6" t="inlineStr">
        <is>
          <t>Insulating Bushing Boots</t>
        </is>
      </c>
      <c r="C213" s="6" t="inlineStr">
        <is>
          <t>TE Raychem Boot Series</t>
        </is>
      </c>
      <c r="D213" s="6" t="inlineStr">
        <is>
          <t>RSRB-4066</t>
        </is>
      </c>
      <c r="E213" s="6" t="inlineStr">
        <is>
          <t>TE Raychem RSRB-4066</t>
        </is>
      </c>
      <c r="F213" s="6" t="inlineStr">
        <is>
          <t>TE Raychem RSRB Heat Shrink Insulating Bushing Boot Right Angle Short (120-300 mm²)</t>
        </is>
      </c>
      <c r="G213" s="5" t="inlineStr">
        <is>
          <t>Up to 17.5kV</t>
        </is>
      </c>
      <c r="H213" s="5" t="inlineStr">
        <is>
          <t>400A / 630A</t>
        </is>
      </c>
      <c r="I213" s="5" t="inlineStr">
        <is>
          <t>-</t>
        </is>
      </c>
      <c r="J213" s="6" t="inlineStr">
        <is>
          <t>Right Angle Profile</t>
        </is>
      </c>
      <c r="K213" s="5" t="inlineStr">
        <is>
          <t>Insulated / Flashover Proof</t>
        </is>
      </c>
      <c r="L213" s="6" t="inlineStr">
        <is>
          <t>Voltage rating: up to 17.5kV; Basic impulse level (BIL): 95kV; Bushing types: DIN, CENELEC, ANSI 400/630A; Tool-free installation (RCAB) or flame/hot-air heat-shrink (RSRB); Protection against flashover &amp; moisture</t>
        </is>
      </c>
      <c r="M213" s="5" t="inlineStr">
        <is>
          <t>USD / Upon Request</t>
        </is>
      </c>
      <c r="N213" s="8" t="inlineStr">
        <is>
          <t>Upon request</t>
        </is>
      </c>
      <c r="O213" s="7" t="n"/>
      <c r="P213" s="8">
        <f>IF(ISNUMBER(N213),N213*(1-O213),N213)</f>
        <v/>
      </c>
      <c r="Q213" s="5" t="inlineStr">
        <is>
          <t>Upon request</t>
        </is>
      </c>
      <c r="R213" s="6" t="inlineStr">
        <is>
          <t>In Stock (Immediate Dispatch)</t>
        </is>
      </c>
      <c r="S213" s="6" t="inlineStr">
        <is>
          <t>Push-on / Heat Shrink over Bushing</t>
        </is>
      </c>
      <c r="T213" s="6" t="inlineStr">
        <is>
          <t>IEC 60137, CENELEC HD 629.1</t>
        </is>
      </c>
      <c r="U213" s="5" t="inlineStr">
        <is>
          <t>Page 33</t>
        </is>
      </c>
    </row>
    <row r="214" ht="20" customHeight="1">
      <c r="A214" s="10" t="inlineStr">
        <is>
          <t>Surge Arresters</t>
        </is>
      </c>
      <c r="B214" s="10" t="inlineStr">
        <is>
          <t>Screened Separable Surge Arresters</t>
        </is>
      </c>
      <c r="C214" s="10" t="inlineStr">
        <is>
          <t>TE Raychem RSTI-SA</t>
        </is>
      </c>
      <c r="D214" s="10" t="inlineStr">
        <is>
          <t>RSTI-58A0605</t>
        </is>
      </c>
      <c r="E214" s="10" t="inlineStr">
        <is>
          <t>Surge Arrester 6.0kV</t>
        </is>
      </c>
      <c r="F214" s="10" t="inlineStr">
        <is>
          <t>TE Raychem Screened Separable Surge Arrester 6.0kV 5kA (Single Connection)</t>
        </is>
      </c>
      <c r="G214" s="9" t="inlineStr">
        <is>
          <t>6.0kV (Ur: 7.5kV)</t>
        </is>
      </c>
      <c r="H214" s="9" t="inlineStr">
        <is>
          <t>Discharge: 5kA</t>
        </is>
      </c>
      <c r="I214" s="9" t="inlineStr">
        <is>
          <t>Short circuit: 16kA</t>
        </is>
      </c>
      <c r="J214" s="10" t="inlineStr">
        <is>
          <t>Length: 285.0mm, Weight: 2.4kg</t>
        </is>
      </c>
      <c r="K214" s="9" t="inlineStr">
        <is>
          <t>IP67 Submersible / Touch-Proof</t>
        </is>
      </c>
      <c r="L214" s="10" t="inlineStr">
        <is>
          <t>Operating duty high current impulse 4/10 µs: 65kA; Short circuit current: 16kA; Long duration impulse (1ms): 75A; Weight: 2.4 kg/pc; Direct connection onto DIN Type C bushings</t>
        </is>
      </c>
      <c r="M214" s="9" t="inlineStr">
        <is>
          <t>USD / Upon Request</t>
        </is>
      </c>
      <c r="N214" s="12" t="inlineStr">
        <is>
          <t>Upon request</t>
        </is>
      </c>
      <c r="O214" s="11" t="n"/>
      <c r="P214" s="12">
        <f>IF(ISNUMBER(N214),N214*(1-O214),N214)</f>
        <v/>
      </c>
      <c r="Q214" s="9" t="inlineStr">
        <is>
          <t>Upon request</t>
        </is>
      </c>
      <c r="R214" s="10" t="inlineStr">
        <is>
          <t>In Stock (Immediate Dispatch)</t>
        </is>
      </c>
      <c r="S214" s="10" t="inlineStr">
        <is>
          <t>Direct Connection onto Bushings</t>
        </is>
      </c>
      <c r="T214" s="10" t="inlineStr">
        <is>
          <t>IEC 60099-4</t>
        </is>
      </c>
      <c r="U214" s="9" t="inlineStr">
        <is>
          <t>Page 34</t>
        </is>
      </c>
    </row>
    <row r="215" ht="20" customHeight="1">
      <c r="A215" s="6" t="inlineStr">
        <is>
          <t>Surge Arresters</t>
        </is>
      </c>
      <c r="B215" s="6" t="inlineStr">
        <is>
          <t>Screened Separable Surge Arresters</t>
        </is>
      </c>
      <c r="C215" s="6" t="inlineStr">
        <is>
          <t>TE Raychem RSTI-SA</t>
        </is>
      </c>
      <c r="D215" s="6" t="inlineStr">
        <is>
          <t>RSTI-58SA1205</t>
        </is>
      </c>
      <c r="E215" s="6" t="inlineStr">
        <is>
          <t>Surge Arrester 12.0kV</t>
        </is>
      </c>
      <c r="F215" s="6" t="inlineStr">
        <is>
          <t>TE Raychem Screened Separable Surge Arrester 12.0kV 5kA (Single Connection)</t>
        </is>
      </c>
      <c r="G215" s="5" t="inlineStr">
        <is>
          <t>12.0kV (Ur: 15.0kV)</t>
        </is>
      </c>
      <c r="H215" s="5" t="inlineStr">
        <is>
          <t>Discharge: 5kA</t>
        </is>
      </c>
      <c r="I215" s="5" t="inlineStr">
        <is>
          <t>Short circuit: 16kA</t>
        </is>
      </c>
      <c r="J215" s="6" t="inlineStr">
        <is>
          <t>Length: 285.0mm, Weight: 2.7kg</t>
        </is>
      </c>
      <c r="K215" s="5" t="inlineStr">
        <is>
          <t>IP67 Submersible / Touch-Proof</t>
        </is>
      </c>
      <c r="L215" s="6" t="inlineStr">
        <is>
          <t>Operating duty high current impulse 4/10 µs: 65kA; Short circuit current: 16kA; Long duration impulse (1ms): 75A; Weight: 2.7 kg/pc; Direct connection onto DIN Type C bushings</t>
        </is>
      </c>
      <c r="M215" s="5" t="inlineStr">
        <is>
          <t>USD / Upon Request</t>
        </is>
      </c>
      <c r="N215" s="8" t="inlineStr">
        <is>
          <t>Upon request</t>
        </is>
      </c>
      <c r="O215" s="7" t="n"/>
      <c r="P215" s="8">
        <f>IF(ISNUMBER(N215),N215*(1-O215),N215)</f>
        <v/>
      </c>
      <c r="Q215" s="5" t="inlineStr">
        <is>
          <t>Upon request</t>
        </is>
      </c>
      <c r="R215" s="6" t="inlineStr">
        <is>
          <t>In Stock (Immediate Dispatch)</t>
        </is>
      </c>
      <c r="S215" s="6" t="inlineStr">
        <is>
          <t>Direct Connection onto Bushings</t>
        </is>
      </c>
      <c r="T215" s="6" t="inlineStr">
        <is>
          <t>IEC 60099-4</t>
        </is>
      </c>
      <c r="U215" s="5" t="inlineStr">
        <is>
          <t>Page 34</t>
        </is>
      </c>
    </row>
    <row r="216" ht="20" customHeight="1">
      <c r="A216" s="10" t="inlineStr">
        <is>
          <t>Surge Arresters</t>
        </is>
      </c>
      <c r="B216" s="10" t="inlineStr">
        <is>
          <t>Screened Separable Surge Arresters</t>
        </is>
      </c>
      <c r="C216" s="10" t="inlineStr">
        <is>
          <t>TE Raychem RSTI-SA</t>
        </is>
      </c>
      <c r="D216" s="10" t="inlineStr">
        <is>
          <t>RSTI-58A1805</t>
        </is>
      </c>
      <c r="E216" s="10" t="inlineStr">
        <is>
          <t>Surge Arrester 18.0kV</t>
        </is>
      </c>
      <c r="F216" s="10" t="inlineStr">
        <is>
          <t>TE Raychem Screened Separable Surge Arrester 18.0kV 5kA (Single Connection)</t>
        </is>
      </c>
      <c r="G216" s="9" t="inlineStr">
        <is>
          <t>18.0kV (Ur: 22.5kV)</t>
        </is>
      </c>
      <c r="H216" s="9" t="inlineStr">
        <is>
          <t>Discharge: 5kA</t>
        </is>
      </c>
      <c r="I216" s="9" t="inlineStr">
        <is>
          <t>Short circuit: 16kA</t>
        </is>
      </c>
      <c r="J216" s="10" t="inlineStr">
        <is>
          <t>Length: 400.0mm, Weight: 3.0kg</t>
        </is>
      </c>
      <c r="K216" s="9" t="inlineStr">
        <is>
          <t>IP67 Submersible / Touch-Proof</t>
        </is>
      </c>
      <c r="L216" s="10" t="inlineStr">
        <is>
          <t>Operating duty high current impulse 4/10 µs: 65kA; Short circuit current: 16kA; Long duration impulse (1ms): 75A; Weight: 3.0 kg/pc; Direct connection onto DIN Type C bushings</t>
        </is>
      </c>
      <c r="M216" s="9" t="inlineStr">
        <is>
          <t>USD / Upon Request</t>
        </is>
      </c>
      <c r="N216" s="12" t="inlineStr">
        <is>
          <t>Upon request</t>
        </is>
      </c>
      <c r="O216" s="11" t="n"/>
      <c r="P216" s="12">
        <f>IF(ISNUMBER(N216),N216*(1-O216),N216)</f>
        <v/>
      </c>
      <c r="Q216" s="9" t="inlineStr">
        <is>
          <t>Upon request</t>
        </is>
      </c>
      <c r="R216" s="10" t="inlineStr">
        <is>
          <t>In Stock (Immediate Dispatch)</t>
        </is>
      </c>
      <c r="S216" s="10" t="inlineStr">
        <is>
          <t>Direct Connection onto Bushings</t>
        </is>
      </c>
      <c r="T216" s="10" t="inlineStr">
        <is>
          <t>IEC 60099-4</t>
        </is>
      </c>
      <c r="U216" s="9" t="inlineStr">
        <is>
          <t>Page 34</t>
        </is>
      </c>
    </row>
    <row r="217" ht="20" customHeight="1">
      <c r="A217" s="6" t="inlineStr">
        <is>
          <t>Surge Arresters</t>
        </is>
      </c>
      <c r="B217" s="6" t="inlineStr">
        <is>
          <t>Screened Separable Surge Arresters</t>
        </is>
      </c>
      <c r="C217" s="6" t="inlineStr">
        <is>
          <t>TE Raychem RSTI-SA</t>
        </is>
      </c>
      <c r="D217" s="6" t="inlineStr">
        <is>
          <t>RSTI-58SA2405</t>
        </is>
      </c>
      <c r="E217" s="6" t="inlineStr">
        <is>
          <t>Surge Arrester 24.0kV</t>
        </is>
      </c>
      <c r="F217" s="6" t="inlineStr">
        <is>
          <t>TE Raychem Screened Separable Surge Arrester 24.0kV 5kA (Single Connection)</t>
        </is>
      </c>
      <c r="G217" s="5" t="inlineStr">
        <is>
          <t>24.0kV (Ur: 30.0kV)</t>
        </is>
      </c>
      <c r="H217" s="5" t="inlineStr">
        <is>
          <t>Discharge: 5kA</t>
        </is>
      </c>
      <c r="I217" s="5" t="inlineStr">
        <is>
          <t>Short circuit: 16kA</t>
        </is>
      </c>
      <c r="J217" s="6" t="inlineStr">
        <is>
          <t>Length: 400.0mm, Weight: 3.3kg</t>
        </is>
      </c>
      <c r="K217" s="5" t="inlineStr">
        <is>
          <t>IP67 Submersible / Touch-Proof</t>
        </is>
      </c>
      <c r="L217" s="6" t="inlineStr">
        <is>
          <t>Operating duty high current impulse 4/10 µs: 65kA; Short circuit current: 16kA; Long duration impulse (1ms): 75A; Weight: 3.3 kg/pc; Direct connection onto DIN Type C bushings</t>
        </is>
      </c>
      <c r="M217" s="5" t="inlineStr">
        <is>
          <t>USD / Upon Request</t>
        </is>
      </c>
      <c r="N217" s="8" t="inlineStr">
        <is>
          <t>Upon request</t>
        </is>
      </c>
      <c r="O217" s="7" t="n"/>
      <c r="P217" s="8">
        <f>IF(ISNUMBER(N217),N217*(1-O217),N217)</f>
        <v/>
      </c>
      <c r="Q217" s="5" t="inlineStr">
        <is>
          <t>Upon request</t>
        </is>
      </c>
      <c r="R217" s="6" t="inlineStr">
        <is>
          <t>In Stock (Immediate Dispatch)</t>
        </is>
      </c>
      <c r="S217" s="6" t="inlineStr">
        <is>
          <t>Direct Connection onto Bushings</t>
        </is>
      </c>
      <c r="T217" s="6" t="inlineStr">
        <is>
          <t>IEC 60099-4</t>
        </is>
      </c>
      <c r="U217" s="5" t="inlineStr">
        <is>
          <t>Page 34</t>
        </is>
      </c>
    </row>
    <row r="218" ht="20" customHeight="1">
      <c r="A218" s="10" t="inlineStr">
        <is>
          <t>Surge Arresters</t>
        </is>
      </c>
      <c r="B218" s="10" t="inlineStr">
        <is>
          <t>Screened Separable Surge Arresters</t>
        </is>
      </c>
      <c r="C218" s="10" t="inlineStr">
        <is>
          <t>TE Raychem RSTI-SA</t>
        </is>
      </c>
      <c r="D218" s="10" t="inlineStr">
        <is>
          <t>RSTI-CC-58SA0605</t>
        </is>
      </c>
      <c r="E218" s="10" t="inlineStr">
        <is>
          <t>Surge Arrester 6.0kV</t>
        </is>
      </c>
      <c r="F218" s="10" t="inlineStr">
        <is>
          <t>TE Raychem Screened Separable Surge Arrester 6.0kV 5kA (Parallel Connection)</t>
        </is>
      </c>
      <c r="G218" s="9" t="inlineStr">
        <is>
          <t>6.0kV (Ur: 7.5kV)</t>
        </is>
      </c>
      <c r="H218" s="9" t="inlineStr">
        <is>
          <t>Discharge: 5kA</t>
        </is>
      </c>
      <c r="I218" s="9" t="inlineStr">
        <is>
          <t>Short circuit: 16kA</t>
        </is>
      </c>
      <c r="J218" s="10" t="inlineStr">
        <is>
          <t>Length: 285.0mm, Weight: 2.5kg</t>
        </is>
      </c>
      <c r="K218" s="9" t="inlineStr">
        <is>
          <t>IP67 Submersible / Touch-Proof</t>
        </is>
      </c>
      <c r="L218" s="10" t="inlineStr">
        <is>
          <t>Operating duty high current impulse 4/10 µs: 65kA; Short circuit current: 16kA; Long duration impulse (1ms): 75A; Weight: 2.5 kg/pc; Direct connection onto DIN Type C bushings</t>
        </is>
      </c>
      <c r="M218" s="9" t="inlineStr">
        <is>
          <t>USD / Upon Request</t>
        </is>
      </c>
      <c r="N218" s="12" t="inlineStr">
        <is>
          <t>Upon request</t>
        </is>
      </c>
      <c r="O218" s="11" t="n"/>
      <c r="P218" s="12">
        <f>IF(ISNUMBER(N218),N218*(1-O218),N218)</f>
        <v/>
      </c>
      <c r="Q218" s="9" t="inlineStr">
        <is>
          <t>Upon request</t>
        </is>
      </c>
      <c r="R218" s="10" t="inlineStr">
        <is>
          <t>In Stock (Immediate Dispatch)</t>
        </is>
      </c>
      <c r="S218" s="10" t="inlineStr">
        <is>
          <t>Direct Connection onto Bushings</t>
        </is>
      </c>
      <c r="T218" s="10" t="inlineStr">
        <is>
          <t>IEC 60099-4</t>
        </is>
      </c>
      <c r="U218" s="9" t="inlineStr">
        <is>
          <t>Page 34</t>
        </is>
      </c>
    </row>
    <row r="219" ht="20" customHeight="1">
      <c r="A219" s="6" t="inlineStr">
        <is>
          <t>Surge Arresters</t>
        </is>
      </c>
      <c r="B219" s="6" t="inlineStr">
        <is>
          <t>Screened Separable Surge Arresters</t>
        </is>
      </c>
      <c r="C219" s="6" t="inlineStr">
        <is>
          <t>TE Raychem RSTI-SA</t>
        </is>
      </c>
      <c r="D219" s="6" t="inlineStr">
        <is>
          <t>RSTI-CC-58SA1205</t>
        </is>
      </c>
      <c r="E219" s="6" t="inlineStr">
        <is>
          <t>Surge Arrester 12.0kV</t>
        </is>
      </c>
      <c r="F219" s="6" t="inlineStr">
        <is>
          <t>TE Raychem Screened Separable Surge Arrester 12.0kV 5kA (Parallel Connection)</t>
        </is>
      </c>
      <c r="G219" s="5" t="inlineStr">
        <is>
          <t>12.0kV (Ur: 15.0kV)</t>
        </is>
      </c>
      <c r="H219" s="5" t="inlineStr">
        <is>
          <t>Discharge: 5kA</t>
        </is>
      </c>
      <c r="I219" s="5" t="inlineStr">
        <is>
          <t>Short circuit: 16kA</t>
        </is>
      </c>
      <c r="J219" s="6" t="inlineStr">
        <is>
          <t>Length: 285.0mm, Weight: 2.8kg</t>
        </is>
      </c>
      <c r="K219" s="5" t="inlineStr">
        <is>
          <t>IP67 Submersible / Touch-Proof</t>
        </is>
      </c>
      <c r="L219" s="6" t="inlineStr">
        <is>
          <t>Operating duty high current impulse 4/10 µs: 65kA; Short circuit current: 16kA; Long duration impulse (1ms): 75A; Weight: 2.8 kg/pc; Direct connection onto DIN Type C bushings</t>
        </is>
      </c>
      <c r="M219" s="5" t="inlineStr">
        <is>
          <t>USD / Upon Request</t>
        </is>
      </c>
      <c r="N219" s="8" t="inlineStr">
        <is>
          <t>Upon request</t>
        </is>
      </c>
      <c r="O219" s="7" t="n"/>
      <c r="P219" s="8">
        <f>IF(ISNUMBER(N219),N219*(1-O219),N219)</f>
        <v/>
      </c>
      <c r="Q219" s="5" t="inlineStr">
        <is>
          <t>Upon request</t>
        </is>
      </c>
      <c r="R219" s="6" t="inlineStr">
        <is>
          <t>In Stock (Immediate Dispatch)</t>
        </is>
      </c>
      <c r="S219" s="6" t="inlineStr">
        <is>
          <t>Direct Connection onto Bushings</t>
        </is>
      </c>
      <c r="T219" s="6" t="inlineStr">
        <is>
          <t>IEC 60099-4</t>
        </is>
      </c>
      <c r="U219" s="5" t="inlineStr">
        <is>
          <t>Page 34</t>
        </is>
      </c>
    </row>
    <row r="220" ht="20" customHeight="1">
      <c r="A220" s="10" t="inlineStr">
        <is>
          <t>Surge Arresters</t>
        </is>
      </c>
      <c r="B220" s="10" t="inlineStr">
        <is>
          <t>Screened Separable Surge Arresters</t>
        </is>
      </c>
      <c r="C220" s="10" t="inlineStr">
        <is>
          <t>TE Raychem RSTI-SA</t>
        </is>
      </c>
      <c r="D220" s="10" t="inlineStr">
        <is>
          <t>RSTI-CC-58A1805</t>
        </is>
      </c>
      <c r="E220" s="10" t="inlineStr">
        <is>
          <t>Surge Arrester 18.0kV</t>
        </is>
      </c>
      <c r="F220" s="10" t="inlineStr">
        <is>
          <t>TE Raychem Screened Separable Surge Arrester 18.0kV 5kA (Parallel Connection)</t>
        </is>
      </c>
      <c r="G220" s="9" t="inlineStr">
        <is>
          <t>18.0kV (Ur: 22.5kV)</t>
        </is>
      </c>
      <c r="H220" s="9" t="inlineStr">
        <is>
          <t>Discharge: 5kA</t>
        </is>
      </c>
      <c r="I220" s="9" t="inlineStr">
        <is>
          <t>Short circuit: 16kA</t>
        </is>
      </c>
      <c r="J220" s="10" t="inlineStr">
        <is>
          <t>Length: 400.0mm, Weight: 3.1kg</t>
        </is>
      </c>
      <c r="K220" s="9" t="inlineStr">
        <is>
          <t>IP67 Submersible / Touch-Proof</t>
        </is>
      </c>
      <c r="L220" s="10" t="inlineStr">
        <is>
          <t>Operating duty high current impulse 4/10 µs: 65kA; Short circuit current: 16kA; Long duration impulse (1ms): 75A; Weight: 3.1 kg/pc; Direct connection onto DIN Type C bushings</t>
        </is>
      </c>
      <c r="M220" s="9" t="inlineStr">
        <is>
          <t>USD / Upon Request</t>
        </is>
      </c>
      <c r="N220" s="12" t="inlineStr">
        <is>
          <t>Upon request</t>
        </is>
      </c>
      <c r="O220" s="11" t="n"/>
      <c r="P220" s="12">
        <f>IF(ISNUMBER(N220),N220*(1-O220),N220)</f>
        <v/>
      </c>
      <c r="Q220" s="9" t="inlineStr">
        <is>
          <t>Upon request</t>
        </is>
      </c>
      <c r="R220" s="10" t="inlineStr">
        <is>
          <t>In Stock (Immediate Dispatch)</t>
        </is>
      </c>
      <c r="S220" s="10" t="inlineStr">
        <is>
          <t>Direct Connection onto Bushings</t>
        </is>
      </c>
      <c r="T220" s="10" t="inlineStr">
        <is>
          <t>IEC 60099-4</t>
        </is>
      </c>
      <c r="U220" s="9" t="inlineStr">
        <is>
          <t>Page 34</t>
        </is>
      </c>
    </row>
    <row r="221" ht="20" customHeight="1">
      <c r="A221" s="6" t="inlineStr">
        <is>
          <t>Surge Arresters</t>
        </is>
      </c>
      <c r="B221" s="6" t="inlineStr">
        <is>
          <t>Screened Separable Surge Arresters</t>
        </is>
      </c>
      <c r="C221" s="6" t="inlineStr">
        <is>
          <t>TE Raychem RSTI-SA</t>
        </is>
      </c>
      <c r="D221" s="6" t="inlineStr">
        <is>
          <t>RSTI-CC-58SA2405</t>
        </is>
      </c>
      <c r="E221" s="6" t="inlineStr">
        <is>
          <t>Surge Arrester 24.0kV</t>
        </is>
      </c>
      <c r="F221" s="6" t="inlineStr">
        <is>
          <t>TE Raychem Screened Separable Surge Arrester 24.0kV 5kA (Parallel Connection)</t>
        </is>
      </c>
      <c r="G221" s="5" t="inlineStr">
        <is>
          <t>24.0kV (Ur: 30.0kV)</t>
        </is>
      </c>
      <c r="H221" s="5" t="inlineStr">
        <is>
          <t>Discharge: 5kA</t>
        </is>
      </c>
      <c r="I221" s="5" t="inlineStr">
        <is>
          <t>Short circuit: 16kA</t>
        </is>
      </c>
      <c r="J221" s="6" t="inlineStr">
        <is>
          <t>Length: 400.0mm, Weight: 3.4kg</t>
        </is>
      </c>
      <c r="K221" s="5" t="inlineStr">
        <is>
          <t>IP67 Submersible / Touch-Proof</t>
        </is>
      </c>
      <c r="L221" s="6" t="inlineStr">
        <is>
          <t>Operating duty high current impulse 4/10 µs: 65kA; Short circuit current: 16kA; Long duration impulse (1ms): 75A; Weight: 3.4 kg/pc; Direct connection onto DIN Type C bushings</t>
        </is>
      </c>
      <c r="M221" s="5" t="inlineStr">
        <is>
          <t>USD / Upon Request</t>
        </is>
      </c>
      <c r="N221" s="8" t="inlineStr">
        <is>
          <t>Upon request</t>
        </is>
      </c>
      <c r="O221" s="7" t="n"/>
      <c r="P221" s="8">
        <f>IF(ISNUMBER(N221),N221*(1-O221),N221)</f>
        <v/>
      </c>
      <c r="Q221" s="5" t="inlineStr">
        <is>
          <t>Upon request</t>
        </is>
      </c>
      <c r="R221" s="6" t="inlineStr">
        <is>
          <t>In Stock (Immediate Dispatch)</t>
        </is>
      </c>
      <c r="S221" s="6" t="inlineStr">
        <is>
          <t>Direct Connection onto Bushings</t>
        </is>
      </c>
      <c r="T221" s="6" t="inlineStr">
        <is>
          <t>IEC 60099-4</t>
        </is>
      </c>
      <c r="U221" s="5" t="inlineStr">
        <is>
          <t>Page 34</t>
        </is>
      </c>
    </row>
    <row r="222" ht="20" customHeight="1">
      <c r="A222" s="10" t="inlineStr">
        <is>
          <t>Actuators &amp; Shunt Trips</t>
        </is>
      </c>
      <c r="B222" s="10" t="inlineStr">
        <is>
          <t>Operating Mechanisms &amp; Accessories</t>
        </is>
      </c>
      <c r="C222" s="10" t="inlineStr">
        <is>
          <t>Aegis Plus Auxiliaries</t>
        </is>
      </c>
      <c r="D222" s="10" t="inlineStr">
        <is>
          <t>ACT-24VDC</t>
        </is>
      </c>
      <c r="E222" s="10" t="inlineStr">
        <is>
          <t>Lucy Electric ACT-24VDC</t>
        </is>
      </c>
      <c r="F222" s="10" t="inlineStr">
        <is>
          <t>Motor Actuator 24V DC for Remote Operation of Switches &amp; Breakers</t>
        </is>
      </c>
      <c r="G222" s="9" t="inlineStr">
        <is>
          <t>24V DC</t>
        </is>
      </c>
      <c r="H222" s="9" t="inlineStr">
        <is>
          <t>-</t>
        </is>
      </c>
      <c r="I222" s="9" t="inlineStr">
        <is>
          <t>-</t>
        </is>
      </c>
      <c r="J222" s="10" t="inlineStr">
        <is>
          <t>Integral to Mechanism</t>
        </is>
      </c>
      <c r="K222" s="9" t="inlineStr">
        <is>
          <t>IP41 / IP54</t>
        </is>
      </c>
      <c r="L222" s="10" t="inlineStr">
        <is>
          <t>Motor Actuator 24V DC for Remote Operation of Switches &amp; Breakers. Operating temperature: -30°C to +70°C; Padlock facility: 8.5mm hole; Fully interlocked with main mechanism</t>
        </is>
      </c>
      <c r="M222" s="9" t="inlineStr">
        <is>
          <t>USD / Upon Request</t>
        </is>
      </c>
      <c r="N222" s="12" t="inlineStr">
        <is>
          <t>Upon request</t>
        </is>
      </c>
      <c r="O222" s="11" t="n"/>
      <c r="P222" s="12">
        <f>IF(ISNUMBER(N222),N222*(1-O222),N222)</f>
        <v/>
      </c>
      <c r="Q222" s="9" t="inlineStr">
        <is>
          <t>Upon request</t>
        </is>
      </c>
      <c r="R222" s="10" t="inlineStr">
        <is>
          <t>In Stock (Immediate Dispatch)</t>
        </is>
      </c>
      <c r="S222" s="10" t="inlineStr">
        <is>
          <t>Mechanism Internal / Fascia</t>
        </is>
      </c>
      <c r="T222" s="10" t="inlineStr">
        <is>
          <t>IEC 62271-1, IEC 62271-100</t>
        </is>
      </c>
      <c r="U222" s="9" t="inlineStr">
        <is>
          <t>Page 29</t>
        </is>
      </c>
    </row>
    <row r="223" ht="20" customHeight="1">
      <c r="A223" s="6" t="inlineStr">
        <is>
          <t>Actuators &amp; Shunt Trips</t>
        </is>
      </c>
      <c r="B223" s="6" t="inlineStr">
        <is>
          <t>Operating Mechanisms &amp; Accessories</t>
        </is>
      </c>
      <c r="C223" s="6" t="inlineStr">
        <is>
          <t>Aegis Plus Auxiliaries</t>
        </is>
      </c>
      <c r="D223" s="6" t="inlineStr">
        <is>
          <t>ACT-WIRING</t>
        </is>
      </c>
      <c r="E223" s="6" t="inlineStr">
        <is>
          <t>Lucy Electric ACT-WIRING</t>
        </is>
      </c>
      <c r="F223" s="6" t="inlineStr">
        <is>
          <t>Factory Pre-Wiring Harness for Future Motorisation Retrofit</t>
        </is>
      </c>
      <c r="G223" s="5" t="inlineStr">
        <is>
          <t>24V DC / Aux</t>
        </is>
      </c>
      <c r="H223" s="5" t="inlineStr">
        <is>
          <t>-</t>
        </is>
      </c>
      <c r="I223" s="5" t="inlineStr">
        <is>
          <t>-</t>
        </is>
      </c>
      <c r="J223" s="6" t="inlineStr">
        <is>
          <t>Integral to Mechanism</t>
        </is>
      </c>
      <c r="K223" s="5" t="inlineStr">
        <is>
          <t>IP41 / IP54</t>
        </is>
      </c>
      <c r="L223" s="6" t="inlineStr">
        <is>
          <t>Factory Pre-Wiring Harness for Future Motorisation Retrofit. Operating temperature: -30°C to +70°C; Padlock facility: 8.5mm hole; Fully interlocked with main mechanism</t>
        </is>
      </c>
      <c r="M223" s="5" t="inlineStr">
        <is>
          <t>USD / Upon Request</t>
        </is>
      </c>
      <c r="N223" s="8" t="inlineStr">
        <is>
          <t>Upon request</t>
        </is>
      </c>
      <c r="O223" s="7" t="n"/>
      <c r="P223" s="8">
        <f>IF(ISNUMBER(N223),N223*(1-O223),N223)</f>
        <v/>
      </c>
      <c r="Q223" s="5" t="inlineStr">
        <is>
          <t>Upon request</t>
        </is>
      </c>
      <c r="R223" s="6" t="inlineStr">
        <is>
          <t>In Stock (Immediate Dispatch)</t>
        </is>
      </c>
      <c r="S223" s="6" t="inlineStr">
        <is>
          <t>Mechanism Internal / Fascia</t>
        </is>
      </c>
      <c r="T223" s="6" t="inlineStr">
        <is>
          <t>IEC 62271-1, IEC 62271-100</t>
        </is>
      </c>
      <c r="U223" s="5" t="inlineStr">
        <is>
          <t>Page 15</t>
        </is>
      </c>
    </row>
    <row r="224" ht="20" customHeight="1">
      <c r="A224" s="10" t="inlineStr">
        <is>
          <t>Actuators &amp; Shunt Trips</t>
        </is>
      </c>
      <c r="B224" s="10" t="inlineStr">
        <is>
          <t>Operating Mechanisms &amp; Accessories</t>
        </is>
      </c>
      <c r="C224" s="10" t="inlineStr">
        <is>
          <t>Aegis Plus Auxiliaries</t>
        </is>
      </c>
      <c r="D224" s="10" t="inlineStr">
        <is>
          <t>SHUNT-12VDC</t>
        </is>
      </c>
      <c r="E224" s="10" t="inlineStr">
        <is>
          <t>Lucy Electric SHUNT-12VDC</t>
        </is>
      </c>
      <c r="F224" s="10" t="inlineStr">
        <is>
          <t>Shunt Trip Coil 12V DC for Circuit Breaker Tripping</t>
        </is>
      </c>
      <c r="G224" s="9" t="inlineStr">
        <is>
          <t>12V DC</t>
        </is>
      </c>
      <c r="H224" s="9" t="inlineStr">
        <is>
          <t>-</t>
        </is>
      </c>
      <c r="I224" s="9" t="inlineStr">
        <is>
          <t>-</t>
        </is>
      </c>
      <c r="J224" s="10" t="inlineStr">
        <is>
          <t>Integral to Mechanism</t>
        </is>
      </c>
      <c r="K224" s="9" t="inlineStr">
        <is>
          <t>IP41 / IP54</t>
        </is>
      </c>
      <c r="L224" s="10" t="inlineStr">
        <is>
          <t>Shunt Trip Coil 12V DC for Circuit Breaker Tripping. Operating temperature: -30°C to +70°C; Padlock facility: 8.5mm hole; Fully interlocked with main mechanism</t>
        </is>
      </c>
      <c r="M224" s="9" t="inlineStr">
        <is>
          <t>USD / Upon Request</t>
        </is>
      </c>
      <c r="N224" s="12" t="inlineStr">
        <is>
          <t>Upon request</t>
        </is>
      </c>
      <c r="O224" s="11" t="n"/>
      <c r="P224" s="12">
        <f>IF(ISNUMBER(N224),N224*(1-O224),N224)</f>
        <v/>
      </c>
      <c r="Q224" s="9" t="inlineStr">
        <is>
          <t>Upon request</t>
        </is>
      </c>
      <c r="R224" s="10" t="inlineStr">
        <is>
          <t>In Stock (Immediate Dispatch)</t>
        </is>
      </c>
      <c r="S224" s="10" t="inlineStr">
        <is>
          <t>Mechanism Internal / Fascia</t>
        </is>
      </c>
      <c r="T224" s="10" t="inlineStr">
        <is>
          <t>IEC 62271-1, IEC 62271-100</t>
        </is>
      </c>
      <c r="U224" s="9" t="inlineStr">
        <is>
          <t>Page 29</t>
        </is>
      </c>
    </row>
    <row r="225" ht="20" customHeight="1">
      <c r="A225" s="6" t="inlineStr">
        <is>
          <t>Actuators &amp; Shunt Trips</t>
        </is>
      </c>
      <c r="B225" s="6" t="inlineStr">
        <is>
          <t>Operating Mechanisms &amp; Accessories</t>
        </is>
      </c>
      <c r="C225" s="6" t="inlineStr">
        <is>
          <t>Aegis Plus Auxiliaries</t>
        </is>
      </c>
      <c r="D225" s="6" t="inlineStr">
        <is>
          <t>SHUNT-24VDC</t>
        </is>
      </c>
      <c r="E225" s="6" t="inlineStr">
        <is>
          <t>Lucy Electric SHUNT-24VDC</t>
        </is>
      </c>
      <c r="F225" s="6" t="inlineStr">
        <is>
          <t>Shunt Trip Coil 24V DC for Circuit Breaker Tripping</t>
        </is>
      </c>
      <c r="G225" s="5" t="inlineStr">
        <is>
          <t>24V DC</t>
        </is>
      </c>
      <c r="H225" s="5" t="inlineStr">
        <is>
          <t>-</t>
        </is>
      </c>
      <c r="I225" s="5" t="inlineStr">
        <is>
          <t>-</t>
        </is>
      </c>
      <c r="J225" s="6" t="inlineStr">
        <is>
          <t>Integral to Mechanism</t>
        </is>
      </c>
      <c r="K225" s="5" t="inlineStr">
        <is>
          <t>IP41 / IP54</t>
        </is>
      </c>
      <c r="L225" s="6" t="inlineStr">
        <is>
          <t>Shunt Trip Coil 24V DC for Circuit Breaker Tripping. Operating temperature: -30°C to +70°C; Padlock facility: 8.5mm hole; Fully interlocked with main mechanism</t>
        </is>
      </c>
      <c r="M225" s="5" t="inlineStr">
        <is>
          <t>USD / Upon Request</t>
        </is>
      </c>
      <c r="N225" s="8" t="inlineStr">
        <is>
          <t>Upon request</t>
        </is>
      </c>
      <c r="O225" s="7" t="n"/>
      <c r="P225" s="8">
        <f>IF(ISNUMBER(N225),N225*(1-O225),N225)</f>
        <v/>
      </c>
      <c r="Q225" s="5" t="inlineStr">
        <is>
          <t>Upon request</t>
        </is>
      </c>
      <c r="R225" s="6" t="inlineStr">
        <is>
          <t>In Stock (Immediate Dispatch)</t>
        </is>
      </c>
      <c r="S225" s="6" t="inlineStr">
        <is>
          <t>Mechanism Internal / Fascia</t>
        </is>
      </c>
      <c r="T225" s="6" t="inlineStr">
        <is>
          <t>IEC 62271-1, IEC 62271-100</t>
        </is>
      </c>
      <c r="U225" s="5" t="inlineStr">
        <is>
          <t>Page 29</t>
        </is>
      </c>
    </row>
    <row r="226" ht="20" customHeight="1">
      <c r="A226" s="10" t="inlineStr">
        <is>
          <t>Actuators &amp; Shunt Trips</t>
        </is>
      </c>
      <c r="B226" s="10" t="inlineStr">
        <is>
          <t>Operating Mechanisms &amp; Accessories</t>
        </is>
      </c>
      <c r="C226" s="10" t="inlineStr">
        <is>
          <t>Aegis Plus Auxiliaries</t>
        </is>
      </c>
      <c r="D226" s="10" t="inlineStr">
        <is>
          <t>SHUNT-48VDC</t>
        </is>
      </c>
      <c r="E226" s="10" t="inlineStr">
        <is>
          <t>Lucy Electric SHUNT-48VDC</t>
        </is>
      </c>
      <c r="F226" s="10" t="inlineStr">
        <is>
          <t>Shunt Trip Coil 48V DC for Circuit Breaker Tripping</t>
        </is>
      </c>
      <c r="G226" s="9" t="inlineStr">
        <is>
          <t>48V DC</t>
        </is>
      </c>
      <c r="H226" s="9" t="inlineStr">
        <is>
          <t>-</t>
        </is>
      </c>
      <c r="I226" s="9" t="inlineStr">
        <is>
          <t>-</t>
        </is>
      </c>
      <c r="J226" s="10" t="inlineStr">
        <is>
          <t>Integral to Mechanism</t>
        </is>
      </c>
      <c r="K226" s="9" t="inlineStr">
        <is>
          <t>IP41 / IP54</t>
        </is>
      </c>
      <c r="L226" s="10" t="inlineStr">
        <is>
          <t>Shunt Trip Coil 48V DC for Circuit Breaker Tripping. Operating temperature: -30°C to +70°C; Padlock facility: 8.5mm hole; Fully interlocked with main mechanism</t>
        </is>
      </c>
      <c r="M226" s="9" t="inlineStr">
        <is>
          <t>USD / Upon Request</t>
        </is>
      </c>
      <c r="N226" s="12" t="inlineStr">
        <is>
          <t>Upon request</t>
        </is>
      </c>
      <c r="O226" s="11" t="n"/>
      <c r="P226" s="12">
        <f>IF(ISNUMBER(N226),N226*(1-O226),N226)</f>
        <v/>
      </c>
      <c r="Q226" s="9" t="inlineStr">
        <is>
          <t>Upon request</t>
        </is>
      </c>
      <c r="R226" s="10" t="inlineStr">
        <is>
          <t>In Stock (Immediate Dispatch)</t>
        </is>
      </c>
      <c r="S226" s="10" t="inlineStr">
        <is>
          <t>Mechanism Internal / Fascia</t>
        </is>
      </c>
      <c r="T226" s="10" t="inlineStr">
        <is>
          <t>IEC 62271-1, IEC 62271-100</t>
        </is>
      </c>
      <c r="U226" s="9" t="inlineStr">
        <is>
          <t>Page 29</t>
        </is>
      </c>
    </row>
    <row r="227" ht="20" customHeight="1">
      <c r="A227" s="6" t="inlineStr">
        <is>
          <t>Actuators &amp; Shunt Trips</t>
        </is>
      </c>
      <c r="B227" s="6" t="inlineStr">
        <is>
          <t>Operating Mechanisms &amp; Accessories</t>
        </is>
      </c>
      <c r="C227" s="6" t="inlineStr">
        <is>
          <t>Aegis Plus Auxiliaries</t>
        </is>
      </c>
      <c r="D227" s="6" t="inlineStr">
        <is>
          <t>SHUNT-110VDC</t>
        </is>
      </c>
      <c r="E227" s="6" t="inlineStr">
        <is>
          <t>Lucy Electric SHUNT-110VDC</t>
        </is>
      </c>
      <c r="F227" s="6" t="inlineStr">
        <is>
          <t>Shunt Trip Coil 110V DC for Circuit Breaker Tripping</t>
        </is>
      </c>
      <c r="G227" s="5" t="inlineStr">
        <is>
          <t>110V DC</t>
        </is>
      </c>
      <c r="H227" s="5" t="inlineStr">
        <is>
          <t>-</t>
        </is>
      </c>
      <c r="I227" s="5" t="inlineStr">
        <is>
          <t>-</t>
        </is>
      </c>
      <c r="J227" s="6" t="inlineStr">
        <is>
          <t>Integral to Mechanism</t>
        </is>
      </c>
      <c r="K227" s="5" t="inlineStr">
        <is>
          <t>IP41 / IP54</t>
        </is>
      </c>
      <c r="L227" s="6" t="inlineStr">
        <is>
          <t>Shunt Trip Coil 110V DC for Circuit Breaker Tripping. Operating temperature: -30°C to +70°C; Padlock facility: 8.5mm hole; Fully interlocked with main mechanism</t>
        </is>
      </c>
      <c r="M227" s="5" t="inlineStr">
        <is>
          <t>USD / Upon Request</t>
        </is>
      </c>
      <c r="N227" s="8" t="inlineStr">
        <is>
          <t>Upon request</t>
        </is>
      </c>
      <c r="O227" s="7" t="n"/>
      <c r="P227" s="8">
        <f>IF(ISNUMBER(N227),N227*(1-O227),N227)</f>
        <v/>
      </c>
      <c r="Q227" s="5" t="inlineStr">
        <is>
          <t>Upon request</t>
        </is>
      </c>
      <c r="R227" s="6" t="inlineStr">
        <is>
          <t>In Stock (Immediate Dispatch)</t>
        </is>
      </c>
      <c r="S227" s="6" t="inlineStr">
        <is>
          <t>Mechanism Internal / Fascia</t>
        </is>
      </c>
      <c r="T227" s="6" t="inlineStr">
        <is>
          <t>IEC 62271-1, IEC 62271-100</t>
        </is>
      </c>
      <c r="U227" s="5" t="inlineStr">
        <is>
          <t>Page 29</t>
        </is>
      </c>
    </row>
    <row r="228" ht="20" customHeight="1">
      <c r="A228" s="10" t="inlineStr">
        <is>
          <t>Actuators &amp; Shunt Trips</t>
        </is>
      </c>
      <c r="B228" s="10" t="inlineStr">
        <is>
          <t>Operating Mechanisms &amp; Accessories</t>
        </is>
      </c>
      <c r="C228" s="10" t="inlineStr">
        <is>
          <t>Aegis Plus Auxiliaries</t>
        </is>
      </c>
      <c r="D228" s="10" t="inlineStr">
        <is>
          <t>SHUNT-110VAC</t>
        </is>
      </c>
      <c r="E228" s="10" t="inlineStr">
        <is>
          <t>Lucy Electric SHUNT-110VAC</t>
        </is>
      </c>
      <c r="F228" s="10" t="inlineStr">
        <is>
          <t>Shunt Trip Coil 110V AC for Circuit Breaker Tripping</t>
        </is>
      </c>
      <c r="G228" s="9" t="inlineStr">
        <is>
          <t>110V AC</t>
        </is>
      </c>
      <c r="H228" s="9" t="inlineStr">
        <is>
          <t>-</t>
        </is>
      </c>
      <c r="I228" s="9" t="inlineStr">
        <is>
          <t>-</t>
        </is>
      </c>
      <c r="J228" s="10" t="inlineStr">
        <is>
          <t>Integral to Mechanism</t>
        </is>
      </c>
      <c r="K228" s="9" t="inlineStr">
        <is>
          <t>IP41 / IP54</t>
        </is>
      </c>
      <c r="L228" s="10" t="inlineStr">
        <is>
          <t>Shunt Trip Coil 110V AC for Circuit Breaker Tripping. Operating temperature: -30°C to +70°C; Padlock facility: 8.5mm hole; Fully interlocked with main mechanism</t>
        </is>
      </c>
      <c r="M228" s="9" t="inlineStr">
        <is>
          <t>USD / Upon Request</t>
        </is>
      </c>
      <c r="N228" s="12" t="inlineStr">
        <is>
          <t>Upon request</t>
        </is>
      </c>
      <c r="O228" s="11" t="n"/>
      <c r="P228" s="12">
        <f>IF(ISNUMBER(N228),N228*(1-O228),N228)</f>
        <v/>
      </c>
      <c r="Q228" s="9" t="inlineStr">
        <is>
          <t>Upon request</t>
        </is>
      </c>
      <c r="R228" s="10" t="inlineStr">
        <is>
          <t>In Stock (Immediate Dispatch)</t>
        </is>
      </c>
      <c r="S228" s="10" t="inlineStr">
        <is>
          <t>Mechanism Internal / Fascia</t>
        </is>
      </c>
      <c r="T228" s="10" t="inlineStr">
        <is>
          <t>IEC 62271-1, IEC 62271-100</t>
        </is>
      </c>
      <c r="U228" s="9" t="inlineStr">
        <is>
          <t>Page 29</t>
        </is>
      </c>
    </row>
    <row r="229" ht="20" customHeight="1">
      <c r="A229" s="6" t="inlineStr">
        <is>
          <t>Actuators &amp; Shunt Trips</t>
        </is>
      </c>
      <c r="B229" s="6" t="inlineStr">
        <is>
          <t>Operating Mechanisms &amp; Accessories</t>
        </is>
      </c>
      <c r="C229" s="6" t="inlineStr">
        <is>
          <t>Aegis Plus Auxiliaries</t>
        </is>
      </c>
      <c r="D229" s="6" t="inlineStr">
        <is>
          <t>SHUNT-240VAC</t>
        </is>
      </c>
      <c r="E229" s="6" t="inlineStr">
        <is>
          <t>Lucy Electric SHUNT-240VAC</t>
        </is>
      </c>
      <c r="F229" s="6" t="inlineStr">
        <is>
          <t>Shunt Trip Coil 240V AC for Circuit Breaker Tripping</t>
        </is>
      </c>
      <c r="G229" s="5" t="inlineStr">
        <is>
          <t>240V AC</t>
        </is>
      </c>
      <c r="H229" s="5" t="inlineStr">
        <is>
          <t>-</t>
        </is>
      </c>
      <c r="I229" s="5" t="inlineStr">
        <is>
          <t>-</t>
        </is>
      </c>
      <c r="J229" s="6" t="inlineStr">
        <is>
          <t>Integral to Mechanism</t>
        </is>
      </c>
      <c r="K229" s="5" t="inlineStr">
        <is>
          <t>IP41 / IP54</t>
        </is>
      </c>
      <c r="L229" s="6" t="inlineStr">
        <is>
          <t>Shunt Trip Coil 240V AC for Circuit Breaker Tripping. Operating temperature: -30°C to +70°C; Padlock facility: 8.5mm hole; Fully interlocked with main mechanism</t>
        </is>
      </c>
      <c r="M229" s="5" t="inlineStr">
        <is>
          <t>USD / Upon Request</t>
        </is>
      </c>
      <c r="N229" s="8" t="inlineStr">
        <is>
          <t>Upon request</t>
        </is>
      </c>
      <c r="O229" s="7" t="n"/>
      <c r="P229" s="8">
        <f>IF(ISNUMBER(N229),N229*(1-O229),N229)</f>
        <v/>
      </c>
      <c r="Q229" s="5" t="inlineStr">
        <is>
          <t>Upon request</t>
        </is>
      </c>
      <c r="R229" s="6" t="inlineStr">
        <is>
          <t>In Stock (Immediate Dispatch)</t>
        </is>
      </c>
      <c r="S229" s="6" t="inlineStr">
        <is>
          <t>Mechanism Internal / Fascia</t>
        </is>
      </c>
      <c r="T229" s="6" t="inlineStr">
        <is>
          <t>IEC 62271-1, IEC 62271-100</t>
        </is>
      </c>
      <c r="U229" s="5" t="inlineStr">
        <is>
          <t>Page 29</t>
        </is>
      </c>
    </row>
    <row r="230" ht="20" customHeight="1">
      <c r="A230" s="10" t="inlineStr">
        <is>
          <t>Actuators &amp; Shunt Trips</t>
        </is>
      </c>
      <c r="B230" s="10" t="inlineStr">
        <is>
          <t>Operating Mechanisms &amp; Accessories</t>
        </is>
      </c>
      <c r="C230" s="10" t="inlineStr">
        <is>
          <t>Aegis Plus Auxiliaries</t>
        </is>
      </c>
      <c r="D230" s="10" t="inlineStr">
        <is>
          <t>SHUNT-MULTI</t>
        </is>
      </c>
      <c r="E230" s="10" t="inlineStr">
        <is>
          <t>Lucy Electric SHUNT-MULTI</t>
        </is>
      </c>
      <c r="F230" s="10" t="inlineStr">
        <is>
          <t>Multi-Voltage Shunt Trip Coil (24V DC - 240V AC/DC Wide Range)</t>
        </is>
      </c>
      <c r="G230" s="9" t="inlineStr">
        <is>
          <t>24VDC - 240VAC</t>
        </is>
      </c>
      <c r="H230" s="9" t="inlineStr">
        <is>
          <t>-</t>
        </is>
      </c>
      <c r="I230" s="9" t="inlineStr">
        <is>
          <t>-</t>
        </is>
      </c>
      <c r="J230" s="10" t="inlineStr">
        <is>
          <t>Integral to Mechanism</t>
        </is>
      </c>
      <c r="K230" s="9" t="inlineStr">
        <is>
          <t>IP41 / IP54</t>
        </is>
      </c>
      <c r="L230" s="10" t="inlineStr">
        <is>
          <t>Multi-Voltage Shunt Trip Coil (24V DC - 240V AC/DC Wide Range). Operating temperature: -30°C to +70°C; Padlock facility: 8.5mm hole; Fully interlocked with main mechanism</t>
        </is>
      </c>
      <c r="M230" s="9" t="inlineStr">
        <is>
          <t>USD / Upon Request</t>
        </is>
      </c>
      <c r="N230" s="12" t="inlineStr">
        <is>
          <t>Upon request</t>
        </is>
      </c>
      <c r="O230" s="11" t="n"/>
      <c r="P230" s="12">
        <f>IF(ISNUMBER(N230),N230*(1-O230),N230)</f>
        <v/>
      </c>
      <c r="Q230" s="9" t="inlineStr">
        <is>
          <t>Upon request</t>
        </is>
      </c>
      <c r="R230" s="10" t="inlineStr">
        <is>
          <t>In Stock (Immediate Dispatch)</t>
        </is>
      </c>
      <c r="S230" s="10" t="inlineStr">
        <is>
          <t>Mechanism Internal / Fascia</t>
        </is>
      </c>
      <c r="T230" s="10" t="inlineStr">
        <is>
          <t>IEC 62271-1, IEC 62271-100</t>
        </is>
      </c>
      <c r="U230" s="9" t="inlineStr">
        <is>
          <t>Page 29</t>
        </is>
      </c>
    </row>
    <row r="231" ht="20" customHeight="1">
      <c r="A231" s="6" t="inlineStr">
        <is>
          <t>Actuators &amp; Shunt Trips</t>
        </is>
      </c>
      <c r="B231" s="6" t="inlineStr">
        <is>
          <t>Operating Mechanisms &amp; Accessories</t>
        </is>
      </c>
      <c r="C231" s="6" t="inlineStr">
        <is>
          <t>Aegis Plus Auxiliaries</t>
        </is>
      </c>
      <c r="D231" s="6" t="inlineStr">
        <is>
          <t>UVR-COIL</t>
        </is>
      </c>
      <c r="E231" s="6" t="inlineStr">
        <is>
          <t>Lucy Electric UVR-COIL</t>
        </is>
      </c>
      <c r="F231" s="6" t="inlineStr">
        <is>
          <t>Undervoltage Release Coil for Circuit Breaker Protection</t>
        </is>
      </c>
      <c r="G231" s="5" t="inlineStr">
        <is>
          <t>110/240V</t>
        </is>
      </c>
      <c r="H231" s="5" t="inlineStr">
        <is>
          <t>-</t>
        </is>
      </c>
      <c r="I231" s="5" t="inlineStr">
        <is>
          <t>-</t>
        </is>
      </c>
      <c r="J231" s="6" t="inlineStr">
        <is>
          <t>Integral to Mechanism</t>
        </is>
      </c>
      <c r="K231" s="5" t="inlineStr">
        <is>
          <t>IP41 / IP54</t>
        </is>
      </c>
      <c r="L231" s="6" t="inlineStr">
        <is>
          <t>Undervoltage Release Coil for Circuit Breaker Protection. Operating temperature: -30°C to +70°C; Padlock facility: 8.5mm hole; Fully interlocked with main mechanism</t>
        </is>
      </c>
      <c r="M231" s="5" t="inlineStr">
        <is>
          <t>USD / Upon Request</t>
        </is>
      </c>
      <c r="N231" s="8" t="inlineStr">
        <is>
          <t>Upon request</t>
        </is>
      </c>
      <c r="O231" s="7" t="n"/>
      <c r="P231" s="8">
        <f>IF(ISNUMBER(N231),N231*(1-O231),N231)</f>
        <v/>
      </c>
      <c r="Q231" s="5" t="inlineStr">
        <is>
          <t>Upon request</t>
        </is>
      </c>
      <c r="R231" s="6" t="inlineStr">
        <is>
          <t>In Stock (Immediate Dispatch)</t>
        </is>
      </c>
      <c r="S231" s="6" t="inlineStr">
        <is>
          <t>Mechanism Internal / Fascia</t>
        </is>
      </c>
      <c r="T231" s="6" t="inlineStr">
        <is>
          <t>IEC 62271-1, IEC 62271-100</t>
        </is>
      </c>
      <c r="U231" s="5" t="inlineStr">
        <is>
          <t>Page 17</t>
        </is>
      </c>
    </row>
    <row r="232" ht="20" customHeight="1">
      <c r="A232" s="10" t="inlineStr">
        <is>
          <t>Actuators &amp; Shunt Trips</t>
        </is>
      </c>
      <c r="B232" s="10" t="inlineStr">
        <is>
          <t>Operating Mechanisms &amp; Accessories</t>
        </is>
      </c>
      <c r="C232" s="10" t="inlineStr">
        <is>
          <t>Aegis Plus Auxiliaries</t>
        </is>
      </c>
      <c r="D232" s="10" t="inlineStr">
        <is>
          <t>CLOSING-COIL</t>
        </is>
      </c>
      <c r="E232" s="10" t="inlineStr">
        <is>
          <t>Lucy Electric CLOSING-COIL</t>
        </is>
      </c>
      <c r="F232" s="10" t="inlineStr">
        <is>
          <t>Closing Coil for Remote Closing Operation (C Module Auto-Reclose)</t>
        </is>
      </c>
      <c r="G232" s="9" t="inlineStr">
        <is>
          <t>24V DC / 110V</t>
        </is>
      </c>
      <c r="H232" s="9" t="inlineStr">
        <is>
          <t>-</t>
        </is>
      </c>
      <c r="I232" s="9" t="inlineStr">
        <is>
          <t>-</t>
        </is>
      </c>
      <c r="J232" s="10" t="inlineStr">
        <is>
          <t>Integral to Mechanism</t>
        </is>
      </c>
      <c r="K232" s="9" t="inlineStr">
        <is>
          <t>IP41 / IP54</t>
        </is>
      </c>
      <c r="L232" s="10" t="inlineStr">
        <is>
          <t>Closing Coil for Remote Closing Operation (C Module Auto-Reclose). Operating temperature: -30°C to +70°C; Padlock facility: 8.5mm hole; Fully interlocked with main mechanism</t>
        </is>
      </c>
      <c r="M232" s="9" t="inlineStr">
        <is>
          <t>USD / Upon Request</t>
        </is>
      </c>
      <c r="N232" s="12" t="inlineStr">
        <is>
          <t>Upon request</t>
        </is>
      </c>
      <c r="O232" s="11" t="n"/>
      <c r="P232" s="12">
        <f>IF(ISNUMBER(N232),N232*(1-O232),N232)</f>
        <v/>
      </c>
      <c r="Q232" s="9" t="inlineStr">
        <is>
          <t>Upon request</t>
        </is>
      </c>
      <c r="R232" s="10" t="inlineStr">
        <is>
          <t>In Stock (Immediate Dispatch)</t>
        </is>
      </c>
      <c r="S232" s="10" t="inlineStr">
        <is>
          <t>Mechanism Internal / Fascia</t>
        </is>
      </c>
      <c r="T232" s="10" t="inlineStr">
        <is>
          <t>IEC 62271-1, IEC 62271-100</t>
        </is>
      </c>
      <c r="U232" s="9" t="inlineStr">
        <is>
          <t>Page 17</t>
        </is>
      </c>
    </row>
    <row r="233" ht="20" customHeight="1">
      <c r="A233" s="6" t="inlineStr">
        <is>
          <t>Actuators &amp; Shunt Trips</t>
        </is>
      </c>
      <c r="B233" s="6" t="inlineStr">
        <is>
          <t>Operating Mechanisms &amp; Accessories</t>
        </is>
      </c>
      <c r="C233" s="6" t="inlineStr">
        <is>
          <t>Aegis Plus Auxiliaries</t>
        </is>
      </c>
      <c r="D233" s="6" t="inlineStr">
        <is>
          <t>AUX-1NO-1NC</t>
        </is>
      </c>
      <c r="E233" s="6" t="inlineStr">
        <is>
          <t>Lucy Electric AUX-1NO-1NC</t>
        </is>
      </c>
      <c r="F233" s="6" t="inlineStr">
        <is>
          <t>Auxiliary Contact Switch Block 1N/O + 1N/C for Remote Position Indication</t>
        </is>
      </c>
      <c r="G233" s="5" t="inlineStr">
        <is>
          <t>24V DC / Aux</t>
        </is>
      </c>
      <c r="H233" s="5" t="inlineStr">
        <is>
          <t>-</t>
        </is>
      </c>
      <c r="I233" s="5" t="inlineStr">
        <is>
          <t>-</t>
        </is>
      </c>
      <c r="J233" s="6" t="inlineStr">
        <is>
          <t>Integral to Mechanism</t>
        </is>
      </c>
      <c r="K233" s="5" t="inlineStr">
        <is>
          <t>IP41 / IP54</t>
        </is>
      </c>
      <c r="L233" s="6" t="inlineStr">
        <is>
          <t>Auxiliary Contact Switch Block 1N/O + 1N/C for Remote Position Indication. Operating temperature: -30°C to +70°C; Padlock facility: 8.5mm hole; Fully interlocked with main mechanism</t>
        </is>
      </c>
      <c r="M233" s="5" t="inlineStr">
        <is>
          <t>USD / Upon Request</t>
        </is>
      </c>
      <c r="N233" s="8" t="inlineStr">
        <is>
          <t>Upon request</t>
        </is>
      </c>
      <c r="O233" s="7" t="n"/>
      <c r="P233" s="8">
        <f>IF(ISNUMBER(N233),N233*(1-O233),N233)</f>
        <v/>
      </c>
      <c r="Q233" s="5" t="inlineStr">
        <is>
          <t>Upon request</t>
        </is>
      </c>
      <c r="R233" s="6" t="inlineStr">
        <is>
          <t>In Stock (Immediate Dispatch)</t>
        </is>
      </c>
      <c r="S233" s="6" t="inlineStr">
        <is>
          <t>Mechanism Internal / Fascia</t>
        </is>
      </c>
      <c r="T233" s="6" t="inlineStr">
        <is>
          <t>IEC 62271-1, IEC 62271-100</t>
        </is>
      </c>
      <c r="U233" s="5" t="inlineStr">
        <is>
          <t>Page 15</t>
        </is>
      </c>
    </row>
    <row r="234" ht="20" customHeight="1">
      <c r="A234" s="10" t="inlineStr">
        <is>
          <t>Actuators &amp; Shunt Trips</t>
        </is>
      </c>
      <c r="B234" s="10" t="inlineStr">
        <is>
          <t>Operating Mechanisms &amp; Accessories</t>
        </is>
      </c>
      <c r="C234" s="10" t="inlineStr">
        <is>
          <t>Aegis Plus Auxiliaries</t>
        </is>
      </c>
      <c r="D234" s="10" t="inlineStr">
        <is>
          <t>AUX-2NO-2NC</t>
        </is>
      </c>
      <c r="E234" s="10" t="inlineStr">
        <is>
          <t>Lucy Electric AUX-2NO-2NC</t>
        </is>
      </c>
      <c r="F234" s="10" t="inlineStr">
        <is>
          <t>Auxiliary Contact Switch Block 2N/O + 2N/C for Remote Position Indication</t>
        </is>
      </c>
      <c r="G234" s="9" t="inlineStr">
        <is>
          <t>24V DC / Aux</t>
        </is>
      </c>
      <c r="H234" s="9" t="inlineStr">
        <is>
          <t>-</t>
        </is>
      </c>
      <c r="I234" s="9" t="inlineStr">
        <is>
          <t>-</t>
        </is>
      </c>
      <c r="J234" s="10" t="inlineStr">
        <is>
          <t>Integral to Mechanism</t>
        </is>
      </c>
      <c r="K234" s="9" t="inlineStr">
        <is>
          <t>IP41 / IP54</t>
        </is>
      </c>
      <c r="L234" s="10" t="inlineStr">
        <is>
          <t>Auxiliary Contact Switch Block 2N/O + 2N/C for Remote Position Indication. Operating temperature: -30°C to +70°C; Padlock facility: 8.5mm hole; Fully interlocked with main mechanism</t>
        </is>
      </c>
      <c r="M234" s="9" t="inlineStr">
        <is>
          <t>USD / Upon Request</t>
        </is>
      </c>
      <c r="N234" s="12" t="inlineStr">
        <is>
          <t>Upon request</t>
        </is>
      </c>
      <c r="O234" s="11" t="n"/>
      <c r="P234" s="12">
        <f>IF(ISNUMBER(N234),N234*(1-O234),N234)</f>
        <v/>
      </c>
      <c r="Q234" s="9" t="inlineStr">
        <is>
          <t>Upon request</t>
        </is>
      </c>
      <c r="R234" s="10" t="inlineStr">
        <is>
          <t>In Stock (Immediate Dispatch)</t>
        </is>
      </c>
      <c r="S234" s="10" t="inlineStr">
        <is>
          <t>Mechanism Internal / Fascia</t>
        </is>
      </c>
      <c r="T234" s="10" t="inlineStr">
        <is>
          <t>IEC 62271-1, IEC 62271-100</t>
        </is>
      </c>
      <c r="U234" s="9" t="inlineStr">
        <is>
          <t>Page 15</t>
        </is>
      </c>
    </row>
    <row r="235" ht="20" customHeight="1">
      <c r="A235" s="6" t="inlineStr">
        <is>
          <t>Actuators &amp; Shunt Trips</t>
        </is>
      </c>
      <c r="B235" s="6" t="inlineStr">
        <is>
          <t>Operating Mechanisms &amp; Accessories</t>
        </is>
      </c>
      <c r="C235" s="6" t="inlineStr">
        <is>
          <t>Aegis Plus Auxiliaries</t>
        </is>
      </c>
      <c r="D235" s="6" t="inlineStr">
        <is>
          <t>GAS-ALARM-1NO</t>
        </is>
      </c>
      <c r="E235" s="6" t="inlineStr">
        <is>
          <t>Lucy Electric GAS-ALARM-1NO</t>
        </is>
      </c>
      <c r="F235" s="6" t="inlineStr">
        <is>
          <t>Remote Low Gas Pressure Alarm Contact Switch 1N/O</t>
        </is>
      </c>
      <c r="G235" s="5" t="inlineStr">
        <is>
          <t>24V DC / Aux</t>
        </is>
      </c>
      <c r="H235" s="5" t="inlineStr">
        <is>
          <t>-</t>
        </is>
      </c>
      <c r="I235" s="5" t="inlineStr">
        <is>
          <t>-</t>
        </is>
      </c>
      <c r="J235" s="6" t="inlineStr">
        <is>
          <t>Integral to Mechanism</t>
        </is>
      </c>
      <c r="K235" s="5" t="inlineStr">
        <is>
          <t>IP41 / IP54</t>
        </is>
      </c>
      <c r="L235" s="6" t="inlineStr">
        <is>
          <t>Remote Low Gas Pressure Alarm Contact Switch 1N/O. Operating temperature: -30°C to +70°C; Padlock facility: 8.5mm hole; Fully interlocked with main mechanism</t>
        </is>
      </c>
      <c r="M235" s="5" t="inlineStr">
        <is>
          <t>USD / Upon Request</t>
        </is>
      </c>
      <c r="N235" s="8" t="inlineStr">
        <is>
          <t>Upon request</t>
        </is>
      </c>
      <c r="O235" s="7" t="n"/>
      <c r="P235" s="8">
        <f>IF(ISNUMBER(N235),N235*(1-O235),N235)</f>
        <v/>
      </c>
      <c r="Q235" s="5" t="inlineStr">
        <is>
          <t>Upon request</t>
        </is>
      </c>
      <c r="R235" s="6" t="inlineStr">
        <is>
          <t>In Stock (Immediate Dispatch)</t>
        </is>
      </c>
      <c r="S235" s="6" t="inlineStr">
        <is>
          <t>Mechanism Internal / Fascia</t>
        </is>
      </c>
      <c r="T235" s="6" t="inlineStr">
        <is>
          <t>IEC 62271-1, IEC 62271-100</t>
        </is>
      </c>
      <c r="U235" s="5" t="inlineStr">
        <is>
          <t>Page 8</t>
        </is>
      </c>
    </row>
    <row r="236" ht="20" customHeight="1">
      <c r="A236" s="10" t="inlineStr">
        <is>
          <t>Actuators &amp; Shunt Trips</t>
        </is>
      </c>
      <c r="B236" s="10" t="inlineStr">
        <is>
          <t>Operating Mechanisms &amp; Accessories</t>
        </is>
      </c>
      <c r="C236" s="10" t="inlineStr">
        <is>
          <t>Aegis Plus Auxiliaries</t>
        </is>
      </c>
      <c r="D236" s="10" t="inlineStr">
        <is>
          <t>GAS-GAUGE-TC</t>
        </is>
      </c>
      <c r="E236" s="10" t="inlineStr">
        <is>
          <t>Lucy Electric GAS-GAUGE-TC</t>
        </is>
      </c>
      <c r="F236" s="10" t="inlineStr">
        <is>
          <t>Temperature Compensated SF6 Gas Pressure Gauge with Red/Green Sectors</t>
        </is>
      </c>
      <c r="G236" s="9" t="inlineStr">
        <is>
          <t>24V DC / Aux</t>
        </is>
      </c>
      <c r="H236" s="9" t="inlineStr">
        <is>
          <t>-</t>
        </is>
      </c>
      <c r="I236" s="9" t="inlineStr">
        <is>
          <t>-</t>
        </is>
      </c>
      <c r="J236" s="10" t="inlineStr">
        <is>
          <t>Integral to Mechanism</t>
        </is>
      </c>
      <c r="K236" s="9" t="inlineStr">
        <is>
          <t>IP41 / IP54</t>
        </is>
      </c>
      <c r="L236" s="10" t="inlineStr">
        <is>
          <t>Temperature Compensated SF6 Gas Pressure Gauge with Red/Green Sectors. Operating temperature: -30°C to +70°C; Padlock facility: 8.5mm hole; Fully interlocked with main mechanism</t>
        </is>
      </c>
      <c r="M236" s="9" t="inlineStr">
        <is>
          <t>USD / Upon Request</t>
        </is>
      </c>
      <c r="N236" s="12" t="inlineStr">
        <is>
          <t>Upon request</t>
        </is>
      </c>
      <c r="O236" s="11" t="n"/>
      <c r="P236" s="12">
        <f>IF(ISNUMBER(N236),N236*(1-O236),N236)</f>
        <v/>
      </c>
      <c r="Q236" s="9" t="inlineStr">
        <is>
          <t>Upon request</t>
        </is>
      </c>
      <c r="R236" s="10" t="inlineStr">
        <is>
          <t>In Stock (Immediate Dispatch)</t>
        </is>
      </c>
      <c r="S236" s="10" t="inlineStr">
        <is>
          <t>Mechanism Internal / Fascia</t>
        </is>
      </c>
      <c r="T236" s="10" t="inlineStr">
        <is>
          <t>IEC 62271-1, IEC 62271-100</t>
        </is>
      </c>
      <c r="U236" s="9" t="inlineStr">
        <is>
          <t>Page 8</t>
        </is>
      </c>
    </row>
    <row r="237" ht="20" customHeight="1">
      <c r="A237" s="6" t="inlineStr">
        <is>
          <t>Actuators &amp; Shunt Trips</t>
        </is>
      </c>
      <c r="B237" s="6" t="inlineStr">
        <is>
          <t>Operating Mechanisms &amp; Accessories</t>
        </is>
      </c>
      <c r="C237" s="6" t="inlineStr">
        <is>
          <t>Aegis Plus Auxiliaries</t>
        </is>
      </c>
      <c r="D237" s="6" t="inlineStr">
        <is>
          <t>OP-COUNTER</t>
        </is>
      </c>
      <c r="E237" s="6" t="inlineStr">
        <is>
          <t>Lucy Electric OP-COUNTER</t>
        </is>
      </c>
      <c r="F237" s="6" t="inlineStr">
        <is>
          <t>Mechanical Operations Counter for Switch / Breaker Mechanism</t>
        </is>
      </c>
      <c r="G237" s="5" t="inlineStr">
        <is>
          <t>24V DC / Aux</t>
        </is>
      </c>
      <c r="H237" s="5" t="inlineStr">
        <is>
          <t>-</t>
        </is>
      </c>
      <c r="I237" s="5" t="inlineStr">
        <is>
          <t>-</t>
        </is>
      </c>
      <c r="J237" s="6" t="inlineStr">
        <is>
          <t>Integral to Mechanism</t>
        </is>
      </c>
      <c r="K237" s="5" t="inlineStr">
        <is>
          <t>IP41 / IP54</t>
        </is>
      </c>
      <c r="L237" s="6" t="inlineStr">
        <is>
          <t>Mechanical Operations Counter for Switch / Breaker Mechanism. Operating temperature: -30°C to +70°C; Padlock facility: 8.5mm hole; Fully interlocked with main mechanism</t>
        </is>
      </c>
      <c r="M237" s="5" t="inlineStr">
        <is>
          <t>USD / Upon Request</t>
        </is>
      </c>
      <c r="N237" s="8" t="inlineStr">
        <is>
          <t>Upon request</t>
        </is>
      </c>
      <c r="O237" s="7" t="n"/>
      <c r="P237" s="8">
        <f>IF(ISNUMBER(N237),N237*(1-O237),N237)</f>
        <v/>
      </c>
      <c r="Q237" s="5" t="inlineStr">
        <is>
          <t>Upon request</t>
        </is>
      </c>
      <c r="R237" s="6" t="inlineStr">
        <is>
          <t>In Stock (Immediate Dispatch)</t>
        </is>
      </c>
      <c r="S237" s="6" t="inlineStr">
        <is>
          <t>Mechanism Internal / Fascia</t>
        </is>
      </c>
      <c r="T237" s="6" t="inlineStr">
        <is>
          <t>IEC 62271-1, IEC 62271-100</t>
        </is>
      </c>
      <c r="U237" s="5" t="inlineStr">
        <is>
          <t>Page 15</t>
        </is>
      </c>
    </row>
    <row r="238" ht="20" customHeight="1">
      <c r="A238" s="10" t="inlineStr">
        <is>
          <t>Actuators &amp; Shunt Trips</t>
        </is>
      </c>
      <c r="B238" s="10" t="inlineStr">
        <is>
          <t>Operating Mechanisms &amp; Accessories</t>
        </is>
      </c>
      <c r="C238" s="10" t="inlineStr">
        <is>
          <t>Aegis Plus Auxiliaries</t>
        </is>
      </c>
      <c r="D238" s="10" t="inlineStr">
        <is>
          <t>RELAY-ANTI-PUMP</t>
        </is>
      </c>
      <c r="E238" s="10" t="inlineStr">
        <is>
          <t>Lucy Electric RELAY-ANTI-PUMP</t>
        </is>
      </c>
      <c r="F238" s="10" t="inlineStr">
        <is>
          <t>Anti-Pumping Relay for Circuit Breaker C Module</t>
        </is>
      </c>
      <c r="G238" s="9" t="inlineStr">
        <is>
          <t>24V DC / Aux</t>
        </is>
      </c>
      <c r="H238" s="9" t="inlineStr">
        <is>
          <t>-</t>
        </is>
      </c>
      <c r="I238" s="9" t="inlineStr">
        <is>
          <t>-</t>
        </is>
      </c>
      <c r="J238" s="10" t="inlineStr">
        <is>
          <t>Integral to Mechanism</t>
        </is>
      </c>
      <c r="K238" s="9" t="inlineStr">
        <is>
          <t>IP41 / IP54</t>
        </is>
      </c>
      <c r="L238" s="10" t="inlineStr">
        <is>
          <t>Anti-Pumping Relay for Circuit Breaker C Module. Operating temperature: -30°C to +70°C; Padlock facility: 8.5mm hole; Fully interlocked with main mechanism</t>
        </is>
      </c>
      <c r="M238" s="9" t="inlineStr">
        <is>
          <t>USD / Upon Request</t>
        </is>
      </c>
      <c r="N238" s="12" t="inlineStr">
        <is>
          <t>Upon request</t>
        </is>
      </c>
      <c r="O238" s="11" t="n"/>
      <c r="P238" s="12">
        <f>IF(ISNUMBER(N238),N238*(1-O238),N238)</f>
        <v/>
      </c>
      <c r="Q238" s="9" t="inlineStr">
        <is>
          <t>Upon request</t>
        </is>
      </c>
      <c r="R238" s="10" t="inlineStr">
        <is>
          <t>In Stock (Immediate Dispatch)</t>
        </is>
      </c>
      <c r="S238" s="10" t="inlineStr">
        <is>
          <t>Mechanism Internal / Fascia</t>
        </is>
      </c>
      <c r="T238" s="10" t="inlineStr">
        <is>
          <t>IEC 62271-1, IEC 62271-100</t>
        </is>
      </c>
      <c r="U238" s="9" t="inlineStr">
        <is>
          <t>Page 17</t>
        </is>
      </c>
    </row>
    <row r="239" ht="20" customHeight="1">
      <c r="A239" s="6" t="inlineStr">
        <is>
          <t>Actuators &amp; Shunt Trips</t>
        </is>
      </c>
      <c r="B239" s="6" t="inlineStr">
        <is>
          <t>Operating Mechanisms &amp; Accessories</t>
        </is>
      </c>
      <c r="C239" s="6" t="inlineStr">
        <is>
          <t>Aegis Plus Auxiliaries</t>
        </is>
      </c>
      <c r="D239" s="6" t="inlineStr">
        <is>
          <t>KEY-INTERLOCK</t>
        </is>
      </c>
      <c r="E239" s="6" t="inlineStr">
        <is>
          <t>Castell / Ronis KEY-INTERLOCK</t>
        </is>
      </c>
      <c r="F239" s="6" t="inlineStr">
        <is>
          <t>Mechanical Key Interlock Assembly (Castell / Ronis Keys)</t>
        </is>
      </c>
      <c r="G239" s="5" t="inlineStr">
        <is>
          <t>24V DC / Aux</t>
        </is>
      </c>
      <c r="H239" s="5" t="inlineStr">
        <is>
          <t>-</t>
        </is>
      </c>
      <c r="I239" s="5" t="inlineStr">
        <is>
          <t>-</t>
        </is>
      </c>
      <c r="J239" s="6" t="inlineStr">
        <is>
          <t>Integral to Mechanism</t>
        </is>
      </c>
      <c r="K239" s="5" t="inlineStr">
        <is>
          <t>IP41 / IP54</t>
        </is>
      </c>
      <c r="L239" s="6" t="inlineStr">
        <is>
          <t>Mechanical Key Interlock Assembly (Castell / Ronis Keys). Operating temperature: -30°C to +70°C; Padlock facility: 8.5mm hole; Fully interlocked with main mechanism</t>
        </is>
      </c>
      <c r="M239" s="5" t="inlineStr">
        <is>
          <t>USD / Upon Request</t>
        </is>
      </c>
      <c r="N239" s="8" t="inlineStr">
        <is>
          <t>Upon request</t>
        </is>
      </c>
      <c r="O239" s="7" t="n"/>
      <c r="P239" s="8">
        <f>IF(ISNUMBER(N239),N239*(1-O239),N239)</f>
        <v/>
      </c>
      <c r="Q239" s="5" t="inlineStr">
        <is>
          <t>Upon request</t>
        </is>
      </c>
      <c r="R239" s="6" t="inlineStr">
        <is>
          <t>In Stock (Immediate Dispatch)</t>
        </is>
      </c>
      <c r="S239" s="6" t="inlineStr">
        <is>
          <t>Mechanism Internal / Fascia</t>
        </is>
      </c>
      <c r="T239" s="6" t="inlineStr">
        <is>
          <t>IEC 62271-1, IEC 62271-100</t>
        </is>
      </c>
      <c r="U239" s="5" t="inlineStr">
        <is>
          <t>Page 8</t>
        </is>
      </c>
    </row>
    <row r="240" ht="20" customHeight="1">
      <c r="A240" s="10" t="inlineStr">
        <is>
          <t>Actuators &amp; Shunt Trips</t>
        </is>
      </c>
      <c r="B240" s="10" t="inlineStr">
        <is>
          <t>Operating Mechanisms &amp; Accessories</t>
        </is>
      </c>
      <c r="C240" s="10" t="inlineStr">
        <is>
          <t>Aegis Plus Auxiliaries</t>
        </is>
      </c>
      <c r="D240" s="10" t="inlineStr">
        <is>
          <t>ET-FACILITY</t>
        </is>
      </c>
      <c r="E240" s="10" t="inlineStr">
        <is>
          <t>Lucy Electric ET-FACILITY</t>
        </is>
      </c>
      <c r="F240" s="10" t="inlineStr">
        <is>
          <t>Integrated Front Cable Earth and Test (E&amp;T) Facility with Star Bar</t>
        </is>
      </c>
      <c r="G240" s="9" t="inlineStr">
        <is>
          <t>24V DC / Aux</t>
        </is>
      </c>
      <c r="H240" s="9" t="inlineStr">
        <is>
          <t>-</t>
        </is>
      </c>
      <c r="I240" s="9" t="inlineStr">
        <is>
          <t>-</t>
        </is>
      </c>
      <c r="J240" s="10" t="inlineStr">
        <is>
          <t>Integral to Mechanism</t>
        </is>
      </c>
      <c r="K240" s="9" t="inlineStr">
        <is>
          <t>IP41 / IP54</t>
        </is>
      </c>
      <c r="L240" s="10" t="inlineStr">
        <is>
          <t>Integrated Front Cable Earth and Test (E&amp;T) Facility with Star Bar. Operating temperature: -30°C to +70°C; Padlock facility: 8.5mm hole; Fully interlocked with main mechanism</t>
        </is>
      </c>
      <c r="M240" s="9" t="inlineStr">
        <is>
          <t>USD / Upon Request</t>
        </is>
      </c>
      <c r="N240" s="12" t="inlineStr">
        <is>
          <t>Upon request</t>
        </is>
      </c>
      <c r="O240" s="11" t="n"/>
      <c r="P240" s="12">
        <f>IF(ISNUMBER(N240),N240*(1-O240),N240)</f>
        <v/>
      </c>
      <c r="Q240" s="9" t="inlineStr">
        <is>
          <t>Upon request</t>
        </is>
      </c>
      <c r="R240" s="10" t="inlineStr">
        <is>
          <t>In Stock (Immediate Dispatch)</t>
        </is>
      </c>
      <c r="S240" s="10" t="inlineStr">
        <is>
          <t>Mechanism Internal / Fascia</t>
        </is>
      </c>
      <c r="T240" s="10" t="inlineStr">
        <is>
          <t>IEC 62271-1, IEC 62271-100</t>
        </is>
      </c>
      <c r="U240" s="9" t="inlineStr">
        <is>
          <t>Page 8</t>
        </is>
      </c>
    </row>
    <row r="241" ht="20" customHeight="1">
      <c r="A241" s="6" t="inlineStr">
        <is>
          <t>Actuators &amp; Shunt Trips</t>
        </is>
      </c>
      <c r="B241" s="6" t="inlineStr">
        <is>
          <t>Operating Mechanisms &amp; Accessories</t>
        </is>
      </c>
      <c r="C241" s="6" t="inlineStr">
        <is>
          <t>Aegis Plus Auxiliaries</t>
        </is>
      </c>
      <c r="D241" s="6" t="inlineStr">
        <is>
          <t>SEC-INJECTION</t>
        </is>
      </c>
      <c r="E241" s="6" t="inlineStr">
        <is>
          <t>Lucy Electric SEC-INJECTION</t>
        </is>
      </c>
      <c r="F241" s="6" t="inlineStr">
        <is>
          <t>Secondary Injection Test Terminal Facility for Protection Relays &amp; TLF</t>
        </is>
      </c>
      <c r="G241" s="5" t="inlineStr">
        <is>
          <t>24V DC / Aux</t>
        </is>
      </c>
      <c r="H241" s="5" t="inlineStr">
        <is>
          <t>-</t>
        </is>
      </c>
      <c r="I241" s="5" t="inlineStr">
        <is>
          <t>-</t>
        </is>
      </c>
      <c r="J241" s="6" t="inlineStr">
        <is>
          <t>Integral to Mechanism</t>
        </is>
      </c>
      <c r="K241" s="5" t="inlineStr">
        <is>
          <t>IP41 / IP54</t>
        </is>
      </c>
      <c r="L241" s="6" t="inlineStr">
        <is>
          <t>Secondary Injection Test Terminal Facility for Protection Relays &amp; TLF. Operating temperature: -30°C to +70°C; Padlock facility: 8.5mm hole; Fully interlocked with main mechanism</t>
        </is>
      </c>
      <c r="M241" s="5" t="inlineStr">
        <is>
          <t>USD / Upon Request</t>
        </is>
      </c>
      <c r="N241" s="8" t="inlineStr">
        <is>
          <t>Upon request</t>
        </is>
      </c>
      <c r="O241" s="7" t="n"/>
      <c r="P241" s="8">
        <f>IF(ISNUMBER(N241),N241*(1-O241),N241)</f>
        <v/>
      </c>
      <c r="Q241" s="5" t="inlineStr">
        <is>
          <t>Upon request</t>
        </is>
      </c>
      <c r="R241" s="6" t="inlineStr">
        <is>
          <t>In Stock (Immediate Dispatch)</t>
        </is>
      </c>
      <c r="S241" s="6" t="inlineStr">
        <is>
          <t>Mechanism Internal / Fascia</t>
        </is>
      </c>
      <c r="T241" s="6" t="inlineStr">
        <is>
          <t>IEC 62271-1, IEC 62271-100</t>
        </is>
      </c>
      <c r="U241" s="5" t="inlineStr">
        <is>
          <t>Page 29</t>
        </is>
      </c>
    </row>
    <row r="242" ht="20" customHeight="1">
      <c r="A242" s="10" t="inlineStr">
        <is>
          <t>Enclosure &amp; Venting Accessories</t>
        </is>
      </c>
      <c r="B242" s="10" t="inlineStr">
        <is>
          <t>Enclosures &amp; Arc Protection Kits</t>
        </is>
      </c>
      <c r="C242" s="10" t="inlineStr">
        <is>
          <t>Aegis Plus Enclosure</t>
        </is>
      </c>
      <c r="D242" s="10" t="inlineStr">
        <is>
          <t>CC-450MM</t>
        </is>
      </c>
      <c r="E242" s="10" t="inlineStr">
        <is>
          <t>Enclosure CC-450MM</t>
        </is>
      </c>
      <c r="F242" s="10" t="inlineStr">
        <is>
          <t>Cable Compartment Enclosure 450mm Cable Bushing Height (Overall Unit H: 1280mm)</t>
        </is>
      </c>
      <c r="G242" s="9" t="inlineStr">
        <is>
          <t>-</t>
        </is>
      </c>
      <c r="H242" s="9" t="inlineStr">
        <is>
          <t>-</t>
        </is>
      </c>
      <c r="I242" s="9" t="inlineStr">
        <is>
          <t>-</t>
        </is>
      </c>
      <c r="J242" s="10" t="inlineStr">
        <is>
          <t>450/600/750mm Height Variants</t>
        </is>
      </c>
      <c r="K242" s="9" t="inlineStr">
        <is>
          <t>IP41 / IP54</t>
        </is>
      </c>
      <c r="L242" s="10" t="inlineStr">
        <is>
          <t>Cable Compartment Enclosure 450mm Cable Bushing Height (Overall Unit H: 1280mm). Electro-statically applied oven cured paint; Zinc coated steel housing; Suitable for harsh environmental conditions and pollution resistance</t>
        </is>
      </c>
      <c r="M242" s="9" t="inlineStr">
        <is>
          <t>USD / Upon Request</t>
        </is>
      </c>
      <c r="N242" s="12" t="inlineStr">
        <is>
          <t>Upon request</t>
        </is>
      </c>
      <c r="O242" s="11" t="n"/>
      <c r="P242" s="12">
        <f>IF(ISNUMBER(N242),N242*(1-O242),N242)</f>
        <v/>
      </c>
      <c r="Q242" s="9" t="inlineStr">
        <is>
          <t>Upon request</t>
        </is>
      </c>
      <c r="R242" s="10" t="inlineStr">
        <is>
          <t>Available from stock / order (2-4 weeks)</t>
        </is>
      </c>
      <c r="S242" s="10" t="inlineStr">
        <is>
          <t>Switchgear Front Compartment</t>
        </is>
      </c>
      <c r="T242" s="10" t="inlineStr">
        <is>
          <t>IEC 62271-200 Internal Arc Classified (IAC)</t>
        </is>
      </c>
      <c r="U242" s="9" t="inlineStr">
        <is>
          <t>Page 43</t>
        </is>
      </c>
    </row>
    <row r="243" ht="20" customHeight="1">
      <c r="A243" s="6" t="inlineStr">
        <is>
          <t>Enclosure &amp; Venting Accessories</t>
        </is>
      </c>
      <c r="B243" s="6" t="inlineStr">
        <is>
          <t>Enclosures &amp; Arc Protection Kits</t>
        </is>
      </c>
      <c r="C243" s="6" t="inlineStr">
        <is>
          <t>Aegis Plus Enclosure</t>
        </is>
      </c>
      <c r="D243" s="6" t="inlineStr">
        <is>
          <t>CC-600MM</t>
        </is>
      </c>
      <c r="E243" s="6" t="inlineStr">
        <is>
          <t>Enclosure CC-600MM</t>
        </is>
      </c>
      <c r="F243" s="6" t="inlineStr">
        <is>
          <t>Cable Compartment Enclosure 600mm Cable Bushing Height (Overall Unit H: 1430mm)</t>
        </is>
      </c>
      <c r="G243" s="5" t="inlineStr">
        <is>
          <t>-</t>
        </is>
      </c>
      <c r="H243" s="5" t="inlineStr">
        <is>
          <t>-</t>
        </is>
      </c>
      <c r="I243" s="5" t="inlineStr">
        <is>
          <t>-</t>
        </is>
      </c>
      <c r="J243" s="6" t="inlineStr">
        <is>
          <t>450/600/750mm Height Variants</t>
        </is>
      </c>
      <c r="K243" s="5" t="inlineStr">
        <is>
          <t>IP41 / IP54</t>
        </is>
      </c>
      <c r="L243" s="6" t="inlineStr">
        <is>
          <t>Cable Compartment Enclosure 600mm Cable Bushing Height (Overall Unit H: 1430mm). Electro-statically applied oven cured paint; Zinc coated steel housing; Suitable for harsh environmental conditions and pollution resistance</t>
        </is>
      </c>
      <c r="M243" s="5" t="inlineStr">
        <is>
          <t>USD / Upon Request</t>
        </is>
      </c>
      <c r="N243" s="8" t="inlineStr">
        <is>
          <t>Upon request</t>
        </is>
      </c>
      <c r="O243" s="7" t="n"/>
      <c r="P243" s="8">
        <f>IF(ISNUMBER(N243),N243*(1-O243),N243)</f>
        <v/>
      </c>
      <c r="Q243" s="5" t="inlineStr">
        <is>
          <t>Upon request</t>
        </is>
      </c>
      <c r="R243" s="6" t="inlineStr">
        <is>
          <t>Available from stock / order (2-4 weeks)</t>
        </is>
      </c>
      <c r="S243" s="6" t="inlineStr">
        <is>
          <t>Switchgear Front Compartment</t>
        </is>
      </c>
      <c r="T243" s="6" t="inlineStr">
        <is>
          <t>IEC 62271-200 Internal Arc Classified (IAC)</t>
        </is>
      </c>
      <c r="U243" s="5" t="inlineStr">
        <is>
          <t>Page 43</t>
        </is>
      </c>
    </row>
    <row r="244" ht="20" customHeight="1">
      <c r="A244" s="10" t="inlineStr">
        <is>
          <t>Enclosure &amp; Venting Accessories</t>
        </is>
      </c>
      <c r="B244" s="10" t="inlineStr">
        <is>
          <t>Enclosures &amp; Arc Protection Kits</t>
        </is>
      </c>
      <c r="C244" s="10" t="inlineStr">
        <is>
          <t>Aegis Plus Enclosure</t>
        </is>
      </c>
      <c r="D244" s="10" t="inlineStr">
        <is>
          <t>CC-750MM</t>
        </is>
      </c>
      <c r="E244" s="10" t="inlineStr">
        <is>
          <t>Enclosure CC-750MM</t>
        </is>
      </c>
      <c r="F244" s="10" t="inlineStr">
        <is>
          <t>Cable Compartment Enclosure 750mm Cable Bushing Height (Overall Unit H: 1580mm)</t>
        </is>
      </c>
      <c r="G244" s="9" t="inlineStr">
        <is>
          <t>-</t>
        </is>
      </c>
      <c r="H244" s="9" t="inlineStr">
        <is>
          <t>-</t>
        </is>
      </c>
      <c r="I244" s="9" t="inlineStr">
        <is>
          <t>-</t>
        </is>
      </c>
      <c r="J244" s="10" t="inlineStr">
        <is>
          <t>450/600/750mm Height Variants</t>
        </is>
      </c>
      <c r="K244" s="9" t="inlineStr">
        <is>
          <t>IP41 / IP54</t>
        </is>
      </c>
      <c r="L244" s="10" t="inlineStr">
        <is>
          <t>Cable Compartment Enclosure 750mm Cable Bushing Height (Overall Unit H: 1580mm). Electro-statically applied oven cured paint; Zinc coated steel housing; Suitable for harsh environmental conditions and pollution resistance</t>
        </is>
      </c>
      <c r="M244" s="9" t="inlineStr">
        <is>
          <t>USD / Upon Request</t>
        </is>
      </c>
      <c r="N244" s="12" t="inlineStr">
        <is>
          <t>Upon request</t>
        </is>
      </c>
      <c r="O244" s="11" t="n"/>
      <c r="P244" s="12">
        <f>IF(ISNUMBER(N244),N244*(1-O244),N244)</f>
        <v/>
      </c>
      <c r="Q244" s="9" t="inlineStr">
        <is>
          <t>Upon request</t>
        </is>
      </c>
      <c r="R244" s="10" t="inlineStr">
        <is>
          <t>Available from stock / order (2-4 weeks)</t>
        </is>
      </c>
      <c r="S244" s="10" t="inlineStr">
        <is>
          <t>Switchgear Front Compartment</t>
        </is>
      </c>
      <c r="T244" s="10" t="inlineStr">
        <is>
          <t>IEC 62271-200 Internal Arc Classified (IAC)</t>
        </is>
      </c>
      <c r="U244" s="9" t="inlineStr">
        <is>
          <t>Page 43</t>
        </is>
      </c>
    </row>
    <row r="245" ht="20" customHeight="1">
      <c r="A245" s="6" t="inlineStr">
        <is>
          <t>Enclosure &amp; Venting Accessories</t>
        </is>
      </c>
      <c r="B245" s="6" t="inlineStr">
        <is>
          <t>Enclosures &amp; Arc Protection Kits</t>
        </is>
      </c>
      <c r="C245" s="6" t="inlineStr">
        <is>
          <t>Aegis Plus Enclosure</t>
        </is>
      </c>
      <c r="D245" s="6" t="inlineStr">
        <is>
          <t>KIT-IP54-OUTDOOR</t>
        </is>
      </c>
      <c r="E245" s="6" t="inlineStr">
        <is>
          <t>Enclosure KIT-IP54-OUTDOOR</t>
        </is>
      </c>
      <c r="F245" s="6" t="inlineStr">
        <is>
          <t>IP54 Outdoor Enclosure Conversion Retrofit Door Kit (Converts IP41 to IP54)</t>
        </is>
      </c>
      <c r="G245" s="5" t="inlineStr">
        <is>
          <t>-</t>
        </is>
      </c>
      <c r="H245" s="5" t="inlineStr">
        <is>
          <t>-</t>
        </is>
      </c>
      <c r="I245" s="5" t="inlineStr">
        <is>
          <t>-</t>
        </is>
      </c>
      <c r="J245" s="6" t="inlineStr">
        <is>
          <t>450/600/750mm Height Variants</t>
        </is>
      </c>
      <c r="K245" s="5" t="inlineStr">
        <is>
          <t>IP41 / IP54</t>
        </is>
      </c>
      <c r="L245" s="6" t="inlineStr">
        <is>
          <t>IP54 Outdoor Enclosure Conversion Retrofit Door Kit (Converts IP41 to IP54). Electro-statically applied oven cured paint; Zinc coated steel housing; Suitable for harsh environmental conditions and pollution resistance</t>
        </is>
      </c>
      <c r="M245" s="5" t="inlineStr">
        <is>
          <t>USD / Upon Request</t>
        </is>
      </c>
      <c r="N245" s="8" t="inlineStr">
        <is>
          <t>Upon request</t>
        </is>
      </c>
      <c r="O245" s="7" t="n"/>
      <c r="P245" s="8">
        <f>IF(ISNUMBER(N245),N245*(1-O245),N245)</f>
        <v/>
      </c>
      <c r="Q245" s="5" t="inlineStr">
        <is>
          <t>Upon request</t>
        </is>
      </c>
      <c r="R245" s="6" t="inlineStr">
        <is>
          <t>Available from stock / order (2-4 weeks)</t>
        </is>
      </c>
      <c r="S245" s="6" t="inlineStr">
        <is>
          <t>Switchgear Front Compartment</t>
        </is>
      </c>
      <c r="T245" s="6" t="inlineStr">
        <is>
          <t>IEC 62271-200 Internal Arc Classified (IAC)</t>
        </is>
      </c>
      <c r="U245" s="5" t="inlineStr">
        <is>
          <t>Page 10</t>
        </is>
      </c>
    </row>
    <row r="246" ht="20" customHeight="1">
      <c r="A246" s="10" t="inlineStr">
        <is>
          <t>Enclosure &amp; Venting Accessories</t>
        </is>
      </c>
      <c r="B246" s="10" t="inlineStr">
        <is>
          <t>Enclosures &amp; Arc Protection Kits</t>
        </is>
      </c>
      <c r="C246" s="10" t="inlineStr">
        <is>
          <t>Aegis Plus Enclosure</t>
        </is>
      </c>
      <c r="D246" s="10" t="inlineStr">
        <is>
          <t>IAC-AF-VENT</t>
        </is>
      </c>
      <c r="E246" s="10" t="inlineStr">
        <is>
          <t>Enclosure IAC-AF-VENT</t>
        </is>
      </c>
      <c r="F246" s="10" t="inlineStr">
        <is>
          <t>Internal Arc Protection Kit - AF Front Operator Safety (Rear Venting Plate)</t>
        </is>
      </c>
      <c r="G246" s="9" t="inlineStr">
        <is>
          <t>-</t>
        </is>
      </c>
      <c r="H246" s="9" t="inlineStr">
        <is>
          <t>-</t>
        </is>
      </c>
      <c r="I246" s="9" t="inlineStr">
        <is>
          <t>20kA 1s Arc Rated</t>
        </is>
      </c>
      <c r="J246" s="10" t="inlineStr">
        <is>
          <t>450/600/750mm Height Variants</t>
        </is>
      </c>
      <c r="K246" s="9" t="inlineStr">
        <is>
          <t>IP41 / IP54</t>
        </is>
      </c>
      <c r="L246" s="10" t="inlineStr">
        <is>
          <t>Internal Arc Protection Kit - AF Front Operator Safety (Rear Venting Plate). Electro-statically applied oven cured paint; Zinc coated steel housing; Suitable for harsh environmental conditions and pollution resistance</t>
        </is>
      </c>
      <c r="M246" s="9" t="inlineStr">
        <is>
          <t>USD / Upon Request</t>
        </is>
      </c>
      <c r="N246" s="12" t="inlineStr">
        <is>
          <t>Upon request</t>
        </is>
      </c>
      <c r="O246" s="11" t="n"/>
      <c r="P246" s="12">
        <f>IF(ISNUMBER(N246),N246*(1-O246),N246)</f>
        <v/>
      </c>
      <c r="Q246" s="9" t="inlineStr">
        <is>
          <t>Upon request</t>
        </is>
      </c>
      <c r="R246" s="10" t="inlineStr">
        <is>
          <t>Available from stock / order (2-4 weeks)</t>
        </is>
      </c>
      <c r="S246" s="10" t="inlineStr">
        <is>
          <t>Switchgear Front Compartment</t>
        </is>
      </c>
      <c r="T246" s="10" t="inlineStr">
        <is>
          <t>IEC 62271-200 Internal Arc Classified (IAC)</t>
        </is>
      </c>
      <c r="U246" s="9" t="inlineStr">
        <is>
          <t>Page 35</t>
        </is>
      </c>
    </row>
    <row r="247" ht="20" customHeight="1">
      <c r="A247" s="6" t="inlineStr">
        <is>
          <t>Enclosure &amp; Venting Accessories</t>
        </is>
      </c>
      <c r="B247" s="6" t="inlineStr">
        <is>
          <t>Enclosures &amp; Arc Protection Kits</t>
        </is>
      </c>
      <c r="C247" s="6" t="inlineStr">
        <is>
          <t>Aegis Plus Enclosure</t>
        </is>
      </c>
      <c r="D247" s="6" t="inlineStr">
        <is>
          <t>IAC-AFL-VENT</t>
        </is>
      </c>
      <c r="E247" s="6" t="inlineStr">
        <is>
          <t>Enclosure IAC-AFL-VENT</t>
        </is>
      </c>
      <c r="F247" s="6" t="inlineStr">
        <is>
          <t>Internal Arc Protection Kit - AFL Front &amp; Lateral Safety (Rear Venting)</t>
        </is>
      </c>
      <c r="G247" s="5" t="inlineStr">
        <is>
          <t>-</t>
        </is>
      </c>
      <c r="H247" s="5" t="inlineStr">
        <is>
          <t>-</t>
        </is>
      </c>
      <c r="I247" s="5" t="inlineStr">
        <is>
          <t>20kA 1s Arc Rated</t>
        </is>
      </c>
      <c r="J247" s="6" t="inlineStr">
        <is>
          <t>450/600/750mm Height Variants</t>
        </is>
      </c>
      <c r="K247" s="5" t="inlineStr">
        <is>
          <t>IP41 / IP54</t>
        </is>
      </c>
      <c r="L247" s="6" t="inlineStr">
        <is>
          <t>Internal Arc Protection Kit - AFL Front &amp; Lateral Safety (Rear Venting). Electro-statically applied oven cured paint; Zinc coated steel housing; Suitable for harsh environmental conditions and pollution resistance</t>
        </is>
      </c>
      <c r="M247" s="5" t="inlineStr">
        <is>
          <t>USD / Upon Request</t>
        </is>
      </c>
      <c r="N247" s="8" t="inlineStr">
        <is>
          <t>Upon request</t>
        </is>
      </c>
      <c r="O247" s="7" t="n"/>
      <c r="P247" s="8">
        <f>IF(ISNUMBER(N247),N247*(1-O247),N247)</f>
        <v/>
      </c>
      <c r="Q247" s="5" t="inlineStr">
        <is>
          <t>Upon request</t>
        </is>
      </c>
      <c r="R247" s="6" t="inlineStr">
        <is>
          <t>Available from stock / order (2-4 weeks)</t>
        </is>
      </c>
      <c r="S247" s="6" t="inlineStr">
        <is>
          <t>Switchgear Front Compartment</t>
        </is>
      </c>
      <c r="T247" s="6" t="inlineStr">
        <is>
          <t>IEC 62271-200 Internal Arc Classified (IAC)</t>
        </is>
      </c>
      <c r="U247" s="5" t="inlineStr">
        <is>
          <t>Page 35</t>
        </is>
      </c>
    </row>
    <row r="248" ht="20" customHeight="1">
      <c r="A248" s="10" t="inlineStr">
        <is>
          <t>Enclosure &amp; Venting Accessories</t>
        </is>
      </c>
      <c r="B248" s="10" t="inlineStr">
        <is>
          <t>Enclosures &amp; Arc Protection Kits</t>
        </is>
      </c>
      <c r="C248" s="10" t="inlineStr">
        <is>
          <t>Aegis Plus Enclosure</t>
        </is>
      </c>
      <c r="D248" s="10" t="inlineStr">
        <is>
          <t>IAC-AFLR-TRENCH</t>
        </is>
      </c>
      <c r="E248" s="10" t="inlineStr">
        <is>
          <t>Enclosure IAC-AFLR-TRENCH</t>
        </is>
      </c>
      <c r="F248" s="10" t="inlineStr">
        <is>
          <t>Internal Arc Protection Kit - AFLR Full Perimeter Safety (Cable Trench Venting)</t>
        </is>
      </c>
      <c r="G248" s="9" t="inlineStr">
        <is>
          <t>-</t>
        </is>
      </c>
      <c r="H248" s="9" t="inlineStr">
        <is>
          <t>-</t>
        </is>
      </c>
      <c r="I248" s="9" t="inlineStr">
        <is>
          <t>20kA 1s Arc Rated</t>
        </is>
      </c>
      <c r="J248" s="10" t="inlineStr">
        <is>
          <t>450/600/750mm Height Variants</t>
        </is>
      </c>
      <c r="K248" s="9" t="inlineStr">
        <is>
          <t>IP41 / IP54</t>
        </is>
      </c>
      <c r="L248" s="10" t="inlineStr">
        <is>
          <t>Internal Arc Protection Kit - AFLR Full Perimeter Safety (Cable Trench Venting). Electro-statically applied oven cured paint; Zinc coated steel housing; Suitable for harsh environmental conditions and pollution resistance</t>
        </is>
      </c>
      <c r="M248" s="9" t="inlineStr">
        <is>
          <t>USD / Upon Request</t>
        </is>
      </c>
      <c r="N248" s="12" t="inlineStr">
        <is>
          <t>Upon request</t>
        </is>
      </c>
      <c r="O248" s="11" t="n"/>
      <c r="P248" s="12">
        <f>IF(ISNUMBER(N248),N248*(1-O248),N248)</f>
        <v/>
      </c>
      <c r="Q248" s="9" t="inlineStr">
        <is>
          <t>Upon request</t>
        </is>
      </c>
      <c r="R248" s="10" t="inlineStr">
        <is>
          <t>Available from stock / order (2-4 weeks)</t>
        </is>
      </c>
      <c r="S248" s="10" t="inlineStr">
        <is>
          <t>Switchgear Front Compartment</t>
        </is>
      </c>
      <c r="T248" s="10" t="inlineStr">
        <is>
          <t>IEC 62271-200 Internal Arc Classified (IAC)</t>
        </is>
      </c>
      <c r="U248" s="9" t="inlineStr">
        <is>
          <t>Page 35</t>
        </is>
      </c>
    </row>
    <row r="249" ht="20" customHeight="1">
      <c r="A249" s="6" t="inlineStr">
        <is>
          <t>Enclosure &amp; Venting Accessories</t>
        </is>
      </c>
      <c r="B249" s="6" t="inlineStr">
        <is>
          <t>Enclosures &amp; Arc Protection Kits</t>
        </is>
      </c>
      <c r="C249" s="6" t="inlineStr">
        <is>
          <t>Aegis Plus Enclosure</t>
        </is>
      </c>
      <c r="D249" s="6" t="inlineStr">
        <is>
          <t>IAC-AFLR-CHIMNEY</t>
        </is>
      </c>
      <c r="E249" s="6" t="inlineStr">
        <is>
          <t>Enclosure IAC-AFLR-CHIMNEY</t>
        </is>
      </c>
      <c r="F249" s="6" t="inlineStr">
        <is>
          <t>Internal Arc Protection Kit - AFLR Full Perimeter Safety (Upward Chimney Venting)</t>
        </is>
      </c>
      <c r="G249" s="5" t="inlineStr">
        <is>
          <t>-</t>
        </is>
      </c>
      <c r="H249" s="5" t="inlineStr">
        <is>
          <t>-</t>
        </is>
      </c>
      <c r="I249" s="5" t="inlineStr">
        <is>
          <t>20kA 1s Arc Rated</t>
        </is>
      </c>
      <c r="J249" s="6" t="inlineStr">
        <is>
          <t>450/600/750mm Height Variants</t>
        </is>
      </c>
      <c r="K249" s="5" t="inlineStr">
        <is>
          <t>IP41 / IP54</t>
        </is>
      </c>
      <c r="L249" s="6" t="inlineStr">
        <is>
          <t>Internal Arc Protection Kit - AFLR Full Perimeter Safety (Upward Chimney Venting). Electro-statically applied oven cured paint; Zinc coated steel housing; Suitable for harsh environmental conditions and pollution resistance</t>
        </is>
      </c>
      <c r="M249" s="5" t="inlineStr">
        <is>
          <t>USD / Upon Request</t>
        </is>
      </c>
      <c r="N249" s="8" t="inlineStr">
        <is>
          <t>Upon request</t>
        </is>
      </c>
      <c r="O249" s="7" t="n"/>
      <c r="P249" s="8">
        <f>IF(ISNUMBER(N249),N249*(1-O249),N249)</f>
        <v/>
      </c>
      <c r="Q249" s="5" t="inlineStr">
        <is>
          <t>Upon request</t>
        </is>
      </c>
      <c r="R249" s="6" t="inlineStr">
        <is>
          <t>Available from stock / order (2-4 weeks)</t>
        </is>
      </c>
      <c r="S249" s="6" t="inlineStr">
        <is>
          <t>Switchgear Front Compartment</t>
        </is>
      </c>
      <c r="T249" s="6" t="inlineStr">
        <is>
          <t>IEC 62271-200 Internal Arc Classified (IAC)</t>
        </is>
      </c>
      <c r="U249" s="5" t="inlineStr">
        <is>
          <t>Page 35</t>
        </is>
      </c>
    </row>
    <row r="250" ht="20" customHeight="1">
      <c r="A250" s="10" t="inlineStr">
        <is>
          <t>Enclosure &amp; Venting Accessories</t>
        </is>
      </c>
      <c r="B250" s="10" t="inlineStr">
        <is>
          <t>Enclosures &amp; Arc Protection Kits</t>
        </is>
      </c>
      <c r="C250" s="10" t="inlineStr">
        <is>
          <t>Aegis Plus Enclosure</t>
        </is>
      </c>
      <c r="D250" s="10" t="inlineStr">
        <is>
          <t>CLAMP-METAL-1C</t>
        </is>
      </c>
      <c r="E250" s="10" t="inlineStr">
        <is>
          <t>Enclosure CLAMP-METAL-1C</t>
        </is>
      </c>
      <c r="F250" s="10" t="inlineStr">
        <is>
          <t>Metal Cable Clamps and Glands Kit for Single Core Polymeric Cables (up to 300 mm²)</t>
        </is>
      </c>
      <c r="G250" s="9" t="inlineStr">
        <is>
          <t>-</t>
        </is>
      </c>
      <c r="H250" s="9" t="inlineStr">
        <is>
          <t>-</t>
        </is>
      </c>
      <c r="I250" s="9" t="inlineStr">
        <is>
          <t>-</t>
        </is>
      </c>
      <c r="J250" s="10" t="inlineStr">
        <is>
          <t>450/600/750mm Height Variants</t>
        </is>
      </c>
      <c r="K250" s="9" t="inlineStr">
        <is>
          <t>IP41 / IP54</t>
        </is>
      </c>
      <c r="L250" s="10" t="inlineStr">
        <is>
          <t>Metal Cable Clamps and Glands Kit for Single Core Polymeric Cables (up to 300 mm²). Electro-statically applied oven cured paint; Zinc coated steel housing; Suitable for harsh environmental conditions and pollution resistance</t>
        </is>
      </c>
      <c r="M250" s="9" t="inlineStr">
        <is>
          <t>USD / Upon Request</t>
        </is>
      </c>
      <c r="N250" s="12" t="inlineStr">
        <is>
          <t>Upon request</t>
        </is>
      </c>
      <c r="O250" s="11" t="n"/>
      <c r="P250" s="12">
        <f>IF(ISNUMBER(N250),N250*(1-O250),N250)</f>
        <v/>
      </c>
      <c r="Q250" s="9" t="inlineStr">
        <is>
          <t>Upon request</t>
        </is>
      </c>
      <c r="R250" s="10" t="inlineStr">
        <is>
          <t>Available from stock / order (2-4 weeks)</t>
        </is>
      </c>
      <c r="S250" s="10" t="inlineStr">
        <is>
          <t>Switchgear Front Compartment</t>
        </is>
      </c>
      <c r="T250" s="10" t="inlineStr">
        <is>
          <t>IEC 62271-200 Internal Arc Classified (IAC)</t>
        </is>
      </c>
      <c r="U250" s="9" t="inlineStr">
        <is>
          <t>Page 30</t>
        </is>
      </c>
    </row>
    <row r="251" ht="20" customHeight="1">
      <c r="A251" s="6" t="inlineStr">
        <is>
          <t>Enclosure &amp; Venting Accessories</t>
        </is>
      </c>
      <c r="B251" s="6" t="inlineStr">
        <is>
          <t>Enclosures &amp; Arc Protection Kits</t>
        </is>
      </c>
      <c r="C251" s="6" t="inlineStr">
        <is>
          <t>Aegis Plus Enclosure</t>
        </is>
      </c>
      <c r="D251" s="6" t="inlineStr">
        <is>
          <t>CLAMP-METAL-3C</t>
        </is>
      </c>
      <c r="E251" s="6" t="inlineStr">
        <is>
          <t>Enclosure CLAMP-METAL-3C</t>
        </is>
      </c>
      <c r="F251" s="6" t="inlineStr">
        <is>
          <t>Metal Cable Clamps and Glands Kit for Three Core Polymeric Cables (up to 500 mm²)</t>
        </is>
      </c>
      <c r="G251" s="5" t="inlineStr">
        <is>
          <t>-</t>
        </is>
      </c>
      <c r="H251" s="5" t="inlineStr">
        <is>
          <t>-</t>
        </is>
      </c>
      <c r="I251" s="5" t="inlineStr">
        <is>
          <t>-</t>
        </is>
      </c>
      <c r="J251" s="6" t="inlineStr">
        <is>
          <t>450/600/750mm Height Variants</t>
        </is>
      </c>
      <c r="K251" s="5" t="inlineStr">
        <is>
          <t>IP41 / IP54</t>
        </is>
      </c>
      <c r="L251" s="6" t="inlineStr">
        <is>
          <t>Metal Cable Clamps and Glands Kit for Three Core Polymeric Cables (up to 500 mm²). Electro-statically applied oven cured paint; Zinc coated steel housing; Suitable for harsh environmental conditions and pollution resistance</t>
        </is>
      </c>
      <c r="M251" s="5" t="inlineStr">
        <is>
          <t>USD / Upon Request</t>
        </is>
      </c>
      <c r="N251" s="8" t="inlineStr">
        <is>
          <t>Upon request</t>
        </is>
      </c>
      <c r="O251" s="7" t="n"/>
      <c r="P251" s="8">
        <f>IF(ISNUMBER(N251),N251*(1-O251),N251)</f>
        <v/>
      </c>
      <c r="Q251" s="5" t="inlineStr">
        <is>
          <t>Upon request</t>
        </is>
      </c>
      <c r="R251" s="6" t="inlineStr">
        <is>
          <t>Available from stock / order (2-4 weeks)</t>
        </is>
      </c>
      <c r="S251" s="6" t="inlineStr">
        <is>
          <t>Switchgear Front Compartment</t>
        </is>
      </c>
      <c r="T251" s="6" t="inlineStr">
        <is>
          <t>IEC 62271-200 Internal Arc Classified (IAC)</t>
        </is>
      </c>
      <c r="U251" s="5" t="inlineStr">
        <is>
          <t>Page 30</t>
        </is>
      </c>
    </row>
    <row r="252" ht="20" customHeight="1">
      <c r="A252" s="10" t="inlineStr">
        <is>
          <t>Enclosure &amp; Venting Accessories</t>
        </is>
      </c>
      <c r="B252" s="10" t="inlineStr">
        <is>
          <t>Enclosures &amp; Arc Protection Kits</t>
        </is>
      </c>
      <c r="C252" s="10" t="inlineStr">
        <is>
          <t>Aegis Plus Enclosure</t>
        </is>
      </c>
      <c r="D252" s="10" t="inlineStr">
        <is>
          <t>CLAMP-PLASTIC-1C</t>
        </is>
      </c>
      <c r="E252" s="10" t="inlineStr">
        <is>
          <t>Enclosure CLAMP-PLASTIC-1C</t>
        </is>
      </c>
      <c r="F252" s="10" t="inlineStr">
        <is>
          <t>Plastic Insulated Cable Clamps Kit for Single Core Polymeric Cables</t>
        </is>
      </c>
      <c r="G252" s="9" t="inlineStr">
        <is>
          <t>-</t>
        </is>
      </c>
      <c r="H252" s="9" t="inlineStr">
        <is>
          <t>-</t>
        </is>
      </c>
      <c r="I252" s="9" t="inlineStr">
        <is>
          <t>-</t>
        </is>
      </c>
      <c r="J252" s="10" t="inlineStr">
        <is>
          <t>450/600/750mm Height Variants</t>
        </is>
      </c>
      <c r="K252" s="9" t="inlineStr">
        <is>
          <t>IP41 / IP54</t>
        </is>
      </c>
      <c r="L252" s="10" t="inlineStr">
        <is>
          <t>Plastic Insulated Cable Clamps Kit for Single Core Polymeric Cables. Electro-statically applied oven cured paint; Zinc coated steel housing; Suitable for harsh environmental conditions and pollution resistance</t>
        </is>
      </c>
      <c r="M252" s="9" t="inlineStr">
        <is>
          <t>USD / Upon Request</t>
        </is>
      </c>
      <c r="N252" s="12" t="inlineStr">
        <is>
          <t>Upon request</t>
        </is>
      </c>
      <c r="O252" s="11" t="n"/>
      <c r="P252" s="12">
        <f>IF(ISNUMBER(N252),N252*(1-O252),N252)</f>
        <v/>
      </c>
      <c r="Q252" s="9" t="inlineStr">
        <is>
          <t>Upon request</t>
        </is>
      </c>
      <c r="R252" s="10" t="inlineStr">
        <is>
          <t>Available from stock / order (2-4 weeks)</t>
        </is>
      </c>
      <c r="S252" s="10" t="inlineStr">
        <is>
          <t>Switchgear Front Compartment</t>
        </is>
      </c>
      <c r="T252" s="10" t="inlineStr">
        <is>
          <t>IEC 62271-200 Internal Arc Classified (IAC)</t>
        </is>
      </c>
      <c r="U252" s="9" t="inlineStr">
        <is>
          <t>Page 45</t>
        </is>
      </c>
    </row>
    <row r="253" ht="20" customHeight="1">
      <c r="A253" s="6" t="inlineStr">
        <is>
          <t>Enclosure &amp; Venting Accessories</t>
        </is>
      </c>
      <c r="B253" s="6" t="inlineStr">
        <is>
          <t>Enclosures &amp; Arc Protection Kits</t>
        </is>
      </c>
      <c r="C253" s="6" t="inlineStr">
        <is>
          <t>Aegis Plus Enclosure</t>
        </is>
      </c>
      <c r="D253" s="6" t="inlineStr">
        <is>
          <t>CLAMP-PLASTIC-3C</t>
        </is>
      </c>
      <c r="E253" s="6" t="inlineStr">
        <is>
          <t>Enclosure CLAMP-PLASTIC-3C</t>
        </is>
      </c>
      <c r="F253" s="6" t="inlineStr">
        <is>
          <t>Plastic Insulated Cable Clamps Kit for Three Core Polymeric Cables</t>
        </is>
      </c>
      <c r="G253" s="5" t="inlineStr">
        <is>
          <t>-</t>
        </is>
      </c>
      <c r="H253" s="5" t="inlineStr">
        <is>
          <t>-</t>
        </is>
      </c>
      <c r="I253" s="5" t="inlineStr">
        <is>
          <t>-</t>
        </is>
      </c>
      <c r="J253" s="6" t="inlineStr">
        <is>
          <t>450/600/750mm Height Variants</t>
        </is>
      </c>
      <c r="K253" s="5" t="inlineStr">
        <is>
          <t>IP41 / IP54</t>
        </is>
      </c>
      <c r="L253" s="6" t="inlineStr">
        <is>
          <t>Plastic Insulated Cable Clamps Kit for Three Core Polymeric Cables. Electro-statically applied oven cured paint; Zinc coated steel housing; Suitable for harsh environmental conditions and pollution resistance</t>
        </is>
      </c>
      <c r="M253" s="5" t="inlineStr">
        <is>
          <t>USD / Upon Request</t>
        </is>
      </c>
      <c r="N253" s="8" t="inlineStr">
        <is>
          <t>Upon request</t>
        </is>
      </c>
      <c r="O253" s="7" t="n"/>
      <c r="P253" s="8">
        <f>IF(ISNUMBER(N253),N253*(1-O253),N253)</f>
        <v/>
      </c>
      <c r="Q253" s="5" t="inlineStr">
        <is>
          <t>Upon request</t>
        </is>
      </c>
      <c r="R253" s="6" t="inlineStr">
        <is>
          <t>Available from stock / order (2-4 weeks)</t>
        </is>
      </c>
      <c r="S253" s="6" t="inlineStr">
        <is>
          <t>Switchgear Front Compartment</t>
        </is>
      </c>
      <c r="T253" s="6" t="inlineStr">
        <is>
          <t>IEC 62271-200 Internal Arc Classified (IAC)</t>
        </is>
      </c>
      <c r="U253" s="5" t="inlineStr">
        <is>
          <t>Page 45</t>
        </is>
      </c>
    </row>
  </sheetData>
  <autoFilter ref="A4:U2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How to use</t>
        </is>
      </c>
    </row>
    <row r="2">
      <c r="A2" s="15" t="inlineStr">
        <is>
          <t>Discount</t>
        </is>
      </c>
      <c r="B2" s="16" t="inlineStr">
        <is>
          <t>Column N (Lucy Electric Price List) and Column O (E-Commerce) are formatted as percentages (e.g. 20%). Net Price calculates automatically via formula =IF(ISNUMBER(Price), Price*(1-Discount), Price).</t>
        </is>
      </c>
    </row>
    <row r="3">
      <c r="A3" s="15" t="inlineStr">
        <is>
          <t>Price</t>
        </is>
      </c>
      <c r="B3" s="16" t="inlineStr">
        <is>
          <t>List price in USD ($) or GBP / Upon Request as per Lucy Electric technical documentation. 'Upon request' denotes engineered-to-order switchgear configurations quoted upon customer specification.</t>
        </is>
      </c>
    </row>
    <row r="4">
      <c r="A4" s="15" t="inlineStr">
        <is>
          <t>Ratings 1-5</t>
        </is>
      </c>
      <c r="B4" s="16" t="inlineStr">
        <is>
          <t>Primary price and technical driving ratings structured as 'Header: value' (e.g. Voltage: 12kV, Current: 630A, Withstand: 21kA 3s, Extensibility: Non-Extensible, Ingress: IP41/IP54).</t>
        </is>
      </c>
    </row>
    <row r="5">
      <c r="A5" s="15" t="inlineStr">
        <is>
          <t>Key word</t>
        </is>
      </c>
      <c r="B5" s="16" t="inlineStr">
        <is>
          <t>Model type reference, functional code combination (e.g. LLF, LLV, RSTI-5810, Capdis S2+, WEGA 1.2C) distinguishing each product model.</t>
        </is>
      </c>
    </row>
    <row r="6">
      <c r="A6" s="15" t="inlineStr">
        <is>
          <t>Accessories</t>
        </is>
      </c>
      <c r="B6" s="16" t="inlineStr">
        <is>
          <t>Denotes whether the item is a primary switchgear assembly, plug-in protection relay, fault indicator, bushing connector, motor actuator, or enclosure accessory.</t>
        </is>
      </c>
    </row>
    <row r="7">
      <c r="A7" s="15" t="inlineStr">
        <is>
          <t>Stocked / Availability</t>
        </is>
      </c>
      <c r="B7" s="16" t="inlineStr">
        <is>
          <t>'Configured to Order' for complete RMUs/AMUs; 'Standard Stock' for standard cable boots, separable connectors, EFIs, and replacement fuses.</t>
        </is>
      </c>
    </row>
    <row r="8">
      <c r="A8" s="15" t="inlineStr">
        <is>
          <t>Product Range / Series</t>
        </is>
      </c>
      <c r="B8" s="16" t="inlineStr">
        <is>
          <t>Lucy Electric Aegis Plus ring main units &amp; air metering units, along with certified sub-assemblies (TE Raychem, Horstmann, Kries, SupaRule, Woodward, Fanox, Ashida).</t>
        </is>
      </c>
    </row>
    <row r="9">
      <c r="A9" s="15" t="inlineStr">
        <is>
          <t>Other Ratings / Specs</t>
        </is>
      </c>
      <c r="B9" s="16" t="inlineStr">
        <is>
          <t>Comprehensive physical, electrical, and mechanical parameters: short-circuit withstand, impulse withstand, dimensions, cable size capacity, gas pressure, and IAC arc classification.</t>
        </is>
      </c>
    </row>
    <row r="10">
      <c r="A10" s="15" t="inlineStr">
        <is>
          <t>Price List Page</t>
        </is>
      </c>
      <c r="B10" s="16" t="inlineStr">
        <is>
          <t>Direct page cross-reference to the official Lucy Electric Aegis Plus publication (LEAEGP0121) for rapid verification.</t>
        </is>
      </c>
    </row>
    <row r="11">
      <c r="A11" s="15" t="n"/>
      <c r="B11" s="16" t="n"/>
    </row>
    <row r="12">
      <c r="A12" s="15" t="inlineStr">
        <is>
          <t>Standard Compliance</t>
        </is>
      </c>
      <c r="B12" s="16" t="inlineStr">
        <is>
          <t>IEC 62271-100 (Circuit breakers), IEC 62271-102 (Disconnectors/Earth), IEC 62271-103 (Switches), IEC 62271-105 (Switch-fuse), IEC 62271-200 (Switchgear), IEC 62271-206 (VPIS), IEC 61243-5 (VDS), IEC 60255 (Relays), ENA TS 41-36 / 12-6.</t>
        </is>
      </c>
    </row>
    <row r="13">
      <c r="A13" s="15" t="inlineStr">
        <is>
          <t>Global Offices</t>
        </is>
      </c>
      <c r="B13" s="16" t="inlineStr">
        <is>
          <t>Lucy Electric UK (Thame), Middle East (Dubai), Saudi Arabia (Dammam), South Africa (Honeydew), India (Ambad Nasik), Malaysia (Kuala Lumpur), Brazil (Araucaria), Thailand (Bangkok).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7" t="inlineStr">
        <is>
          <t>Category</t>
        </is>
      </c>
      <c r="B1" s="17" t="inlineStr">
        <is>
          <t>No. of items</t>
        </is>
      </c>
    </row>
    <row r="2">
      <c r="A2" s="2" t="inlineStr">
        <is>
          <t>Ring Main Unit (RMU)</t>
        </is>
      </c>
      <c r="B2" s="18">
        <f>COUNTIF('Lucy Electric Price List'!$C$5:$C$253,A2)</f>
        <v/>
      </c>
    </row>
    <row r="3">
      <c r="A3" s="2" t="inlineStr">
        <is>
          <t>Extensible RMU Modules</t>
        </is>
      </c>
      <c r="B3" s="18">
        <f>COUNTIF('Lucy Electric Price List'!$C$5:$C$253,A3)</f>
        <v/>
      </c>
    </row>
    <row r="4">
      <c r="A4" s="2" t="inlineStr">
        <is>
          <t>Air Metering Unit (AMU)</t>
        </is>
      </c>
      <c r="B4" s="18">
        <f>COUNTIF('Lucy Electric Price List'!$C$5:$C$253,A4)</f>
        <v/>
      </c>
    </row>
    <row r="5">
      <c r="A5" s="2" t="inlineStr">
        <is>
          <t>Instrument Transformers (CT/VT)</t>
        </is>
      </c>
      <c r="B5" s="18">
        <f>COUNTIF('Lucy Electric Price List'!$C$5:$C$253,A5)</f>
        <v/>
      </c>
    </row>
    <row r="6">
      <c r="A6" s="2" t="inlineStr">
        <is>
          <t>Smart Grid RTU &amp; Automation</t>
        </is>
      </c>
      <c r="B6" s="18">
        <f>COUNTIF('Lucy Electric Price List'!$C$5:$C$253,A6)</f>
        <v/>
      </c>
    </row>
    <row r="7">
      <c r="A7" s="2" t="inlineStr">
        <is>
          <t>Circuit Breaker Protection (TLF)</t>
        </is>
      </c>
      <c r="B7" s="18">
        <f>COUNTIF('Lucy Electric Price List'!$C$5:$C$253,A7)</f>
        <v/>
      </c>
    </row>
    <row r="8">
      <c r="A8" s="2" t="inlineStr">
        <is>
          <t>Protection Relays</t>
        </is>
      </c>
      <c r="B8" s="18">
        <f>COUNTIF('Lucy Electric Price List'!$C$5:$C$253,A8)</f>
        <v/>
      </c>
    </row>
    <row r="9">
      <c r="A9" s="2" t="inlineStr">
        <is>
          <t>Earth Fault Indicators (EFI)</t>
        </is>
      </c>
      <c r="B9" s="18">
        <f>COUNTIF('Lucy Electric Price List'!$C$5:$C$253,A9)</f>
        <v/>
      </c>
    </row>
    <row r="10">
      <c r="A10" s="2" t="inlineStr">
        <is>
          <t>Voltage Detection &amp; Presence (VDS/VPIS)</t>
        </is>
      </c>
      <c r="B10" s="18">
        <f>COUNTIF('Lucy Electric Price List'!$C$5:$C$253,A10)</f>
        <v/>
      </c>
    </row>
    <row r="11">
      <c r="A11" s="2" t="inlineStr">
        <is>
          <t>Cable Bushings &amp; Connectors</t>
        </is>
      </c>
      <c r="B11" s="18">
        <f>COUNTIF('Lucy Electric Price List'!$C$5:$C$253,A11)</f>
        <v/>
      </c>
    </row>
    <row r="12">
      <c r="A12" s="2" t="inlineStr">
        <is>
          <t>Cable Bushing Boots</t>
        </is>
      </c>
      <c r="B12" s="18">
        <f>COUNTIF('Lucy Electric Price List'!$C$5:$C$253,A12)</f>
        <v/>
      </c>
    </row>
    <row r="13">
      <c r="A13" s="2" t="inlineStr">
        <is>
          <t>Surge Arresters</t>
        </is>
      </c>
      <c r="B13" s="18">
        <f>COUNTIF('Lucy Electric Price List'!$C$5:$C$253,A13)</f>
        <v/>
      </c>
    </row>
    <row r="14">
      <c r="A14" s="2" t="inlineStr">
        <is>
          <t>Actuators &amp; Shunt Trips</t>
        </is>
      </c>
      <c r="B14" s="18">
        <f>COUNTIF('Lucy Electric Price List'!$C$5:$C$253,A14)</f>
        <v/>
      </c>
    </row>
    <row r="15">
      <c r="A15" s="2" t="inlineStr">
        <is>
          <t>Enclosure &amp; Venting Accessories</t>
        </is>
      </c>
      <c r="B15" s="18">
        <f>COUNTIF('Lucy Electric Price List'!$C$5:$C$253,A15)</f>
        <v/>
      </c>
    </row>
    <row r="16">
      <c r="A16" s="15" t="inlineStr">
        <is>
          <t>Total Items</t>
        </is>
      </c>
      <c r="B16" s="19">
        <f>SUM(B2:B15)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2026-10-28T12:09:55Z</dcterms:created>
  <dcterms:modified xmlns:dcterms="http://purl.org/dc/terms/" xmlns:xsi="http://www.w3.org/2001/XMLSchema-instance" xsi:type="dcterms:W3CDTF">2026-10-28T12:09:57Z</dcterms:modified>
</cp:coreProperties>
</file>